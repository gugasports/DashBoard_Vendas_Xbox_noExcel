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ink/ink1.xml" ContentType="application/inkml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d24a7bec65ef56/Área de Trabalho/LongevIQ/PosGrad_IA/DIO/BootCamp_Totvs_Fundamentos de Engenharia de Dados e Machine Learning/6_Analise de Dados com Excel e Copilot/Desafio_CriandoUmDashBoard/"/>
    </mc:Choice>
  </mc:AlternateContent>
  <xr:revisionPtr revIDLastSave="670" documentId="8_{F3D777AF-B6B2-4369-ACCB-F3E38CADFA06}" xr6:coauthVersionLast="47" xr6:coauthVersionMax="47" xr10:uidLastSave="{EC2380E2-A7E1-4F94-BFEC-CB4A788CFD30}"/>
  <bookViews>
    <workbookView xWindow="-120" yWindow="-120" windowWidth="20730" windowHeight="11040" tabRatio="20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H23" i="3"/>
  <c r="D23" i="3"/>
</calcChain>
</file>

<file path=xl/sharedStrings.xml><?xml version="1.0" encoding="utf-8"?>
<sst xmlns="http://schemas.openxmlformats.org/spreadsheetml/2006/main" count="2043" uniqueCount="331">
  <si>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</si>
  <si>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</si>
  <si>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</si>
  <si>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</si>
  <si>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</si>
  <si>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</si>
  <si>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</si>
  <si>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</si>
  <si>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</si>
  <si>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</si>
  <si>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</si>
  <si>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</si>
  <si>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</si>
  <si>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</si>
  <si>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</si>
  <si>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</si>
  <si>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</si>
  <si>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</si>
  <si>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</si>
  <si>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</si>
  <si>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</si>
  <si>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</si>
  <si>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</si>
  <si>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</si>
  <si>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</si>
  <si>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</si>
  <si>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</si>
  <si>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</si>
  <si>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</si>
  <si>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</si>
  <si>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</si>
  <si>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</si>
  <si>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</si>
  <si>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</si>
  <si>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</si>
  <si>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</si>
  <si>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</si>
  <si>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</si>
  <si>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</si>
  <si>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</si>
  <si>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</si>
  <si>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</si>
  <si>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</si>
  <si>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</si>
  <si>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</si>
  <si>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</si>
  <si>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</si>
  <si>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</si>
  <si>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</si>
  <si>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</si>
  <si>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</si>
  <si>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</si>
  <si>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</si>
  <si>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</si>
  <si>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</si>
  <si>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</si>
  <si>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</si>
  <si>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</si>
  <si>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</si>
  <si>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</si>
  <si>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</si>
  <si>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</si>
  <si>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</si>
  <si>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</si>
  <si>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</si>
  <si>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</si>
  <si>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</si>
  <si>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</si>
  <si>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</si>
  <si>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</si>
  <si>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</si>
  <si>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</si>
  <si>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</si>
  <si>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</si>
  <si>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</si>
  <si>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</si>
  <si>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</si>
  <si>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</si>
  <si>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</si>
  <si>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</si>
  <si>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</si>
  <si>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</si>
  <si>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</si>
  <si>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</si>
  <si>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</si>
  <si>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</si>
  <si>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</si>
  <si>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</si>
  <si>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</si>
  <si>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</si>
  <si>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</si>
  <si>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</si>
  <si>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</si>
  <si>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</si>
  <si>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</si>
  <si>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</si>
  <si>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</si>
  <si>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</si>
  <si>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</si>
  <si>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</si>
  <si>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</si>
  <si>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</si>
  <si>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</si>
  <si>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</si>
  <si>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</si>
  <si>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</si>
  <si>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</si>
  <si>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</si>
  <si>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</si>
  <si>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</si>
  <si>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</si>
  <si>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</si>
  <si>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</si>
  <si>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</si>
  <si>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</si>
  <si>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</si>
  <si>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</si>
  <si>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</si>
  <si>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</si>
  <si>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</si>
  <si>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</si>
  <si>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</si>
  <si>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</si>
  <si>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</si>
  <si>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</si>
  <si>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</si>
  <si>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</si>
  <si>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</si>
  <si>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</si>
  <si>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</si>
  <si>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</si>
  <si>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</si>
  <si>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</si>
  <si>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</si>
  <si>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</si>
  <si>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</si>
  <si>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</si>
  <si>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</si>
  <si>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</si>
  <si>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</si>
  <si>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</si>
  <si>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</si>
  <si>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</si>
  <si>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</si>
  <si>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</si>
  <si>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</si>
  <si>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</si>
  <si>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</si>
  <si>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</si>
  <si>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</si>
  <si>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</si>
  <si>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</si>
  <si>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</si>
  <si>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</si>
  <si>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</si>
  <si>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</si>
  <si>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</si>
  <si>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</si>
  <si>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</si>
  <si>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</si>
  <si>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</si>
  <si>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</si>
  <si>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</si>
  <si>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</si>
  <si>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</si>
  <si>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</si>
  <si>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</si>
  <si>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</si>
  <si>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</si>
  <si>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</si>
  <si>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</si>
  <si>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</si>
  <si>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</si>
  <si>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</si>
  <si>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</si>
  <si>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</si>
  <si>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</si>
  <si>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</si>
  <si>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</si>
  <si>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</si>
  <si>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</si>
  <si>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</si>
  <si>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</si>
  <si>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</si>
  <si>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</si>
  <si>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</si>
  <si>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</si>
  <si>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</si>
  <si>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</si>
  <si>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</si>
  <si>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</si>
  <si>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</si>
  <si>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</si>
  <si>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</si>
  <si>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</si>
  <si>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</si>
  <si>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</si>
  <si>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</si>
  <si>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</si>
  <si>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</si>
  <si>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</si>
  <si>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</si>
  <si>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</si>
  <si>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</si>
  <si>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</si>
  <si>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</si>
  <si>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</si>
  <si>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</si>
  <si>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</si>
  <si>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</si>
  <si>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</si>
  <si>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</si>
  <si>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</si>
  <si>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</si>
  <si>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</si>
  <si>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</si>
  <si>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</si>
  <si>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</si>
  <si>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</si>
  <si>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</si>
  <si>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</si>
  <si>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</si>
  <si>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</si>
  <si>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</si>
  <si>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</si>
  <si>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</si>
  <si>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</si>
  <si>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</si>
  <si>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</si>
  <si>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</si>
  <si>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</si>
  <si>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</si>
  <si>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</si>
  <si>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</si>
  <si>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</si>
  <si>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</si>
  <si>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</si>
  <si>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</si>
  <si>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</si>
  <si>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</si>
  <si>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</si>
  <si>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</si>
  <si>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</si>
  <si>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</si>
  <si>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</si>
  <si>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</si>
  <si>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</si>
  <si>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</si>
  <si>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</si>
  <si>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</si>
  <si>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</si>
  <si>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</si>
  <si>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</si>
  <si>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</si>
  <si>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</si>
  <si>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</si>
  <si>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</si>
  <si>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</si>
  <si>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</si>
  <si>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</si>
  <si>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</si>
  <si>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</si>
  <si>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</si>
  <si>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</si>
  <si>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</si>
  <si>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</si>
  <si>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</si>
  <si>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</si>
  <si>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</si>
  <si>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</si>
  <si>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</si>
  <si>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</si>
  <si>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</si>
  <si>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</si>
  <si>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</si>
  <si>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</si>
  <si>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</si>
  <si>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</si>
  <si>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</si>
  <si>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</si>
  <si>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</si>
  <si>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</si>
  <si>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</si>
  <si>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</si>
  <si>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</si>
  <si>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</si>
  <si>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</si>
  <si>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</si>
  <si>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</si>
  <si>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</si>
  <si>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</si>
  <si>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</si>
  <si>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</si>
  <si>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</si>
  <si>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</si>
  <si>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</si>
  <si>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</si>
  <si>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</si>
  <si>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</si>
  <si>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</si>
  <si>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</si>
  <si>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</si>
  <si>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</si>
  <si>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</si>
  <si>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</si>
  <si>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</si>
  <si>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</si>
  <si>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</si>
  <si>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</si>
  <si>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</si>
  <si>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</si>
  <si>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</si>
  <si>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</si>
  <si>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XBOX GAME PASS SALES ANALYTICS</t>
  </si>
  <si>
    <t>Pergunta de negócio 1 - Quantos clientes temos, em quais planos eles estão e quanto isso gera de faturamento</t>
  </si>
  <si>
    <t>Pergunta de negócio 2 - Qual tipo de assinatura é mais rentavel e quem compra os adicionais (EA Play e Minecraft)</t>
  </si>
  <si>
    <t>Rótulos de Linha</t>
  </si>
  <si>
    <t>Total Geral</t>
  </si>
  <si>
    <t>Soma de Total Value</t>
  </si>
  <si>
    <t>(Tudo)</t>
  </si>
  <si>
    <t>Contagem de Subscriber ID</t>
  </si>
  <si>
    <t>Marketing and Product Report</t>
  </si>
  <si>
    <t>Soma de EA Play Season Pass</t>
  </si>
  <si>
    <t>EA PLAY</t>
  </si>
  <si>
    <t>MINECRAFT</t>
  </si>
  <si>
    <t>Soma de Minecraft Season Pass Price</t>
  </si>
  <si>
    <t>QUAIS PLANOS VENDEM MAIS?</t>
  </si>
  <si>
    <t>(Quantidade de clientes e receitas por plano)</t>
  </si>
  <si>
    <t>Média de Total Value</t>
  </si>
  <si>
    <t>Bem vindo, Ronald</t>
  </si>
  <si>
    <t>Calculation period: 01/01/2024 - 31/12/2024 | Update date: 20/07/2026 14:12:00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</si>
</sst>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0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ck">
        <color rgb="FFE8E6E9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2" xfId="1" applyFont="1" applyBorder="1" applyAlignment="1">
      <alignment horizontal="left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3" xfId="0" applyBorder="1"/>
    <xf numFmtId="0" fontId="0" fillId="4" borderId="3" xfId="0" applyFill="1" applyBorder="1"/>
    <xf numFmtId="0" fontId="0" fillId="7" borderId="3" xfId="0" applyFill="1" applyBorder="1"/>
    <xf numFmtId="44" fontId="0" fillId="0" borderId="0" xfId="2" applyFont="1"/>
    <xf numFmtId="0" fontId="5" fillId="0" borderId="0" xfId="0" applyFont="1" applyAlignment="1">
      <alignment vertical="top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/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1" xr9:uid="{081D6B92-85DA-4987-B634-412F014B7B75}">
      <tableStyleElement type="wholeTable" dxfId="16"/>
    </tableStyle>
    <tableStyle name="SlicerStyleLight6 2" pivot="0" table="0" count="10" xr9:uid="{BCD0E436-89F4-4C1B-AB87-247BC37E0A2C}">
      <tableStyleElement type="wholeTable" dxfId="15"/>
      <tableStyleElement type="headerRow" dxfId="14"/>
    </tableStyle>
  </tableStyles>
  <colors>
    <mruColors>
      <color rgb="FF22C55E"/>
      <color rgb="FFE8E6E9"/>
      <color rgb="FFEDEDED"/>
      <color rgb="FFE0E0E0"/>
      <color rgb="FF2DF390"/>
      <color rgb="FF5BF6A8"/>
      <color rgb="FF000000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[DashBoard_XboxSalesReport.xlsx]C̳álculos!tbl_clientes_plano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rgbClr val="22C55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C̳álculos!$C$8:$C$11</c:f>
              <c:numCache>
                <c:formatCode>General</c:formatCode>
                <c:ptCount val="3"/>
                <c:pt idx="0">
                  <c:v>100</c:v>
                </c:pt>
                <c:pt idx="1">
                  <c:v>95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8-4F7E-BF69-2A969431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494127"/>
        <c:axId val="1645794767"/>
      </c:barChart>
      <c:catAx>
        <c:axId val="177449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794767"/>
        <c:crosses val="autoZero"/>
        <c:auto val="1"/>
        <c:lblAlgn val="ctr"/>
        <c:lblOffset val="100"/>
        <c:noMultiLvlLbl val="0"/>
      </c:catAx>
      <c:valAx>
        <c:axId val="1645794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44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[DashBoard_XboxSalesReport.xlsx]C̳álculos!Tabela dinâmica7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C̳álculos!$E$8:$E$11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C̳álculos!$F$8:$F$11</c:f>
              <c:numCache>
                <c:formatCode>_("R$"* #,##0.00_);_("R$"* \(#,##0.00\);_("R$"* "-"??_);_(@_)</c:formatCode>
                <c:ptCount val="3"/>
                <c:pt idx="0">
                  <c:v>440</c:v>
                </c:pt>
                <c:pt idx="1">
                  <c:v>1786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4-444F-A727-8319E7D2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576719"/>
        <c:axId val="238438895"/>
      </c:barChart>
      <c:catAx>
        <c:axId val="177457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8438895"/>
        <c:crosses val="autoZero"/>
        <c:auto val="1"/>
        <c:lblAlgn val="ctr"/>
        <c:lblOffset val="100"/>
        <c:noMultiLvlLbl val="0"/>
      </c:catAx>
      <c:valAx>
        <c:axId val="2384388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7457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ustomXml" Target="../ink/ink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3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1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1196280</xdr:colOff>
      <xdr:row>9</xdr:row>
      <xdr:rowOff>180660</xdr:rowOff>
    </xdr:from>
    <xdr:to>
      <xdr:col>7</xdr:col>
      <xdr:colOff>1599480</xdr:colOff>
      <xdr:row>11</xdr:row>
      <xdr:rowOff>29700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0E73077A-1964-3DDF-CA6B-D1D65E49F0AC}"/>
                </a:ext>
              </a:extLst>
            </xdr14:cNvPr>
            <xdr14:cNvContentPartPr/>
          </xdr14:nvContentPartPr>
          <xdr14:nvPr macro=""/>
          <xdr14:xfrm>
            <a:off x="10016430" y="1895160"/>
            <a:ext cx="403200" cy="2300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0E73077A-1964-3DDF-CA6B-D1D65E49F0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07430" y="1886520"/>
              <a:ext cx="420840" cy="247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202406</xdr:colOff>
      <xdr:row>1</xdr:row>
      <xdr:rowOff>130968</xdr:rowOff>
    </xdr:from>
    <xdr:to>
      <xdr:col>2</xdr:col>
      <xdr:colOff>371078</xdr:colOff>
      <xdr:row>2</xdr:row>
      <xdr:rowOff>47624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E75C92-609C-ABEC-471A-F37E839A2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r="67772" b="-4985"/>
        <a:stretch>
          <a:fillRect/>
        </a:stretch>
      </xdr:blipFill>
      <xdr:spPr>
        <a:xfrm>
          <a:off x="1750219" y="321468"/>
          <a:ext cx="406797" cy="416719"/>
        </a:xfrm>
        <a:prstGeom prst="rect">
          <a:avLst/>
        </a:prstGeom>
      </xdr:spPr>
    </xdr:pic>
    <xdr:clientData/>
  </xdr:twoCellAnchor>
  <xdr:twoCellAnchor editAs="absolute">
    <xdr:from>
      <xdr:col>1</xdr:col>
      <xdr:colOff>95250</xdr:colOff>
      <xdr:row>4</xdr:row>
      <xdr:rowOff>35719</xdr:rowOff>
    </xdr:from>
    <xdr:to>
      <xdr:col>5</xdr:col>
      <xdr:colOff>71437</xdr:colOff>
      <xdr:row>11</xdr:row>
      <xdr:rowOff>74085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E4A7428-FC9E-48AC-972F-765DC9156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3063" y="1250157"/>
              <a:ext cx="1940718" cy="1407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591739</xdr:colOff>
      <xdr:row>4</xdr:row>
      <xdr:rowOff>33337</xdr:rowOff>
    </xdr:from>
    <xdr:to>
      <xdr:col>13</xdr:col>
      <xdr:colOff>464343</xdr:colOff>
      <xdr:row>11</xdr:row>
      <xdr:rowOff>50273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lan">
              <a:extLst>
                <a:ext uri="{FF2B5EF4-FFF2-40B4-BE49-F238E27FC236}">
                  <a16:creationId xmlns:a16="http://schemas.microsoft.com/office/drawing/2014/main" id="{DF62CD90-8F20-44FF-B875-6AD6BB249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8882" y="972230"/>
              <a:ext cx="2144997" cy="1398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369093</xdr:colOff>
      <xdr:row>4</xdr:row>
      <xdr:rowOff>47624</xdr:rowOff>
    </xdr:from>
    <xdr:to>
      <xdr:col>21</xdr:col>
      <xdr:colOff>250030</xdr:colOff>
      <xdr:row>11</xdr:row>
      <xdr:rowOff>62180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uto Renewal">
              <a:extLst>
                <a:ext uri="{FF2B5EF4-FFF2-40B4-BE49-F238E27FC236}">
                  <a16:creationId xmlns:a16="http://schemas.microsoft.com/office/drawing/2014/main" id="{0034A6EB-3B15-4592-AE47-C641DEEC0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0236" y="986517"/>
              <a:ext cx="1717901" cy="1396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367901</xdr:colOff>
      <xdr:row>12</xdr:row>
      <xdr:rowOff>88106</xdr:rowOff>
    </xdr:from>
    <xdr:to>
      <xdr:col>18</xdr:col>
      <xdr:colOff>22621</xdr:colOff>
      <xdr:row>18</xdr:row>
      <xdr:rowOff>64295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B838BE08-832F-78D2-AA29-BC0586F90328}"/>
            </a:ext>
          </a:extLst>
        </xdr:cNvPr>
        <xdr:cNvGrpSpPr/>
      </xdr:nvGrpSpPr>
      <xdr:grpSpPr>
        <a:xfrm>
          <a:off x="9178526" y="2862262"/>
          <a:ext cx="2083595" cy="1119189"/>
          <a:chOff x="9208293" y="2493168"/>
          <a:chExt cx="2083595" cy="1119189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E89B5868-7431-410C-B747-9A4FD12CC901}"/>
              </a:ext>
            </a:extLst>
          </xdr:cNvPr>
          <xdr:cNvSpPr/>
        </xdr:nvSpPr>
        <xdr:spPr>
          <a:xfrm>
            <a:off x="9208293" y="2516982"/>
            <a:ext cx="2071688" cy="109537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32" name="Retângulo 31">
            <a:extLst>
              <a:ext uri="{FF2B5EF4-FFF2-40B4-BE49-F238E27FC236}">
                <a16:creationId xmlns:a16="http://schemas.microsoft.com/office/drawing/2014/main" id="{045E744D-0903-466F-91D5-BA05022EE907}"/>
              </a:ext>
            </a:extLst>
          </xdr:cNvPr>
          <xdr:cNvSpPr/>
        </xdr:nvSpPr>
        <xdr:spPr>
          <a:xfrm>
            <a:off x="9341645" y="3007517"/>
            <a:ext cx="1754980" cy="58817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23FD34B-D00C-492D-A82F-3D044A333FF2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239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6BF19AE1-3A6F-4C5F-82F2-9584B3AB4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27344" y="2536032"/>
            <a:ext cx="857250" cy="857250"/>
          </a:xfrm>
          <a:prstGeom prst="rect">
            <a:avLst/>
          </a:prstGeom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2DC87764-1C8B-461C-843D-42D38BCE1874}"/>
              </a:ext>
            </a:extLst>
          </xdr:cNvPr>
          <xdr:cNvSpPr/>
        </xdr:nvSpPr>
        <xdr:spPr>
          <a:xfrm>
            <a:off x="9208294" y="2493168"/>
            <a:ext cx="2083594" cy="333375"/>
          </a:xfrm>
          <a:prstGeom prst="round2SameRect">
            <a:avLst/>
          </a:prstGeom>
          <a:solidFill>
            <a:srgbClr val="22C55E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solidFill>
                  <a:schemeClr val="bg1"/>
                </a:solidFill>
              </a:rPr>
              <a:t>EA PLAY REVENUE</a:t>
            </a:r>
          </a:p>
        </xdr:txBody>
      </xdr:sp>
    </xdr:grpSp>
    <xdr:clientData/>
  </xdr:twoCellAnchor>
  <xdr:twoCellAnchor>
    <xdr:from>
      <xdr:col>1</xdr:col>
      <xdr:colOff>119061</xdr:colOff>
      <xdr:row>12</xdr:row>
      <xdr:rowOff>59532</xdr:rowOff>
    </xdr:from>
    <xdr:to>
      <xdr:col>5</xdr:col>
      <xdr:colOff>238124</xdr:colOff>
      <xdr:row>18</xdr:row>
      <xdr:rowOff>71438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1EC17DC5-D4D9-A0B5-F391-29262B68DCE5}"/>
            </a:ext>
          </a:extLst>
        </xdr:cNvPr>
        <xdr:cNvGrpSpPr/>
      </xdr:nvGrpSpPr>
      <xdr:grpSpPr>
        <a:xfrm>
          <a:off x="1666874" y="2833688"/>
          <a:ext cx="2083594" cy="1154906"/>
          <a:chOff x="1595437" y="2464594"/>
          <a:chExt cx="2083594" cy="1154906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4C7E4D4F-3D88-C80D-3430-5C263627F8F9}"/>
              </a:ext>
            </a:extLst>
          </xdr:cNvPr>
          <xdr:cNvGrpSpPr/>
        </xdr:nvGrpSpPr>
        <xdr:grpSpPr>
          <a:xfrm>
            <a:off x="1595437" y="2464594"/>
            <a:ext cx="2083594" cy="1154906"/>
            <a:chOff x="1595437" y="2464594"/>
            <a:chExt cx="2083594" cy="1154906"/>
          </a:xfrm>
        </xdr:grpSpPr>
        <xdr:sp macro="" textlink="">
          <xdr:nvSpPr>
            <xdr:cNvPr id="7" name="Retângulo 6">
              <a:extLst>
                <a:ext uri="{FF2B5EF4-FFF2-40B4-BE49-F238E27FC236}">
                  <a16:creationId xmlns:a16="http://schemas.microsoft.com/office/drawing/2014/main" id="{E4FA1496-B61D-9738-B60B-DEB0EEAC197A}"/>
                </a:ext>
              </a:extLst>
            </xdr:cNvPr>
            <xdr:cNvSpPr/>
          </xdr:nvSpPr>
          <xdr:spPr>
            <a:xfrm>
              <a:off x="1595437" y="2524125"/>
              <a:ext cx="2071688" cy="10953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EE8D8470-AECB-9110-F1B5-E4BD4E47E94B}"/>
                </a:ext>
              </a:extLst>
            </xdr:cNvPr>
            <xdr:cNvSpPr/>
          </xdr:nvSpPr>
          <xdr:spPr>
            <a:xfrm>
              <a:off x="1595437" y="2464594"/>
              <a:ext cx="2083594" cy="333375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TOTAL REVENUE</a:t>
              </a:r>
            </a:p>
          </xdr:txBody>
        </xdr:sp>
      </xdr:grpSp>
      <xdr:sp macro="" textlink="C̳álculos!J8">
        <xdr:nvSpPr>
          <xdr:cNvPr id="29" name="Retângulo 28">
            <a:extLst>
              <a:ext uri="{FF2B5EF4-FFF2-40B4-BE49-F238E27FC236}">
                <a16:creationId xmlns:a16="http://schemas.microsoft.com/office/drawing/2014/main" id="{CB386E67-30C8-06A4-CC0F-B67851787A96}"/>
              </a:ext>
            </a:extLst>
          </xdr:cNvPr>
          <xdr:cNvSpPr/>
        </xdr:nvSpPr>
        <xdr:spPr>
          <a:xfrm>
            <a:off x="1631156" y="2809875"/>
            <a:ext cx="2012157" cy="785812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9D04F3B-EF40-4ABE-A8CE-D743662FB6DE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R$ 7.614,00 </a:t>
            </a:fld>
            <a:endParaRPr lang="pt-BR" sz="2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6</xdr:col>
      <xdr:colOff>51195</xdr:colOff>
      <xdr:row>12</xdr:row>
      <xdr:rowOff>75604</xdr:rowOff>
    </xdr:from>
    <xdr:to>
      <xdr:col>9</xdr:col>
      <xdr:colOff>313133</xdr:colOff>
      <xdr:row>18</xdr:row>
      <xdr:rowOff>75604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C921C2B-AB4F-8E4B-42D3-A0529F4EEEEA}"/>
            </a:ext>
          </a:extLst>
        </xdr:cNvPr>
        <xdr:cNvGrpSpPr/>
      </xdr:nvGrpSpPr>
      <xdr:grpSpPr>
        <a:xfrm>
          <a:off x="4170758" y="2849760"/>
          <a:ext cx="2083594" cy="1143000"/>
          <a:chOff x="4057650" y="2474119"/>
          <a:chExt cx="2083594" cy="114300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129D172D-EAFA-0797-0A78-171305BB2662}"/>
              </a:ext>
            </a:extLst>
          </xdr:cNvPr>
          <xdr:cNvGrpSpPr/>
        </xdr:nvGrpSpPr>
        <xdr:grpSpPr>
          <a:xfrm>
            <a:off x="4057650" y="2474119"/>
            <a:ext cx="2083594" cy="1143000"/>
            <a:chOff x="4057650" y="2474119"/>
            <a:chExt cx="2083594" cy="1143000"/>
          </a:xfrm>
        </xdr:grpSpPr>
        <xdr:sp macro="" textlink="">
          <xdr:nvSpPr>
            <xdr:cNvPr id="8" name="Retângulo 7">
              <a:extLst>
                <a:ext uri="{FF2B5EF4-FFF2-40B4-BE49-F238E27FC236}">
                  <a16:creationId xmlns:a16="http://schemas.microsoft.com/office/drawing/2014/main" id="{FAC30BCB-E1F6-4664-B90E-B582F845CFCC}"/>
                </a:ext>
              </a:extLst>
            </xdr:cNvPr>
            <xdr:cNvSpPr/>
          </xdr:nvSpPr>
          <xdr:spPr>
            <a:xfrm>
              <a:off x="4057650" y="2521744"/>
              <a:ext cx="2071688" cy="10953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F2F3ABCF-AD51-4EE8-AB3E-EA382CD3F87C}"/>
                </a:ext>
              </a:extLst>
            </xdr:cNvPr>
            <xdr:cNvSpPr/>
          </xdr:nvSpPr>
          <xdr:spPr>
            <a:xfrm>
              <a:off x="4057650" y="2474119"/>
              <a:ext cx="2083594" cy="333375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</a:rPr>
                <a:t> CLIENTS</a:t>
              </a:r>
            </a:p>
          </xdr:txBody>
        </xdr:sp>
      </xdr:grpSp>
      <xdr:sp macro="" textlink="C̳álculos!J7">
        <xdr:nvSpPr>
          <xdr:cNvPr id="30" name="Retângulo 29">
            <a:extLst>
              <a:ext uri="{FF2B5EF4-FFF2-40B4-BE49-F238E27FC236}">
                <a16:creationId xmlns:a16="http://schemas.microsoft.com/office/drawing/2014/main" id="{2C5304EB-0D91-434D-A764-B5C8A92A72D0}"/>
              </a:ext>
            </a:extLst>
          </xdr:cNvPr>
          <xdr:cNvSpPr/>
        </xdr:nvSpPr>
        <xdr:spPr>
          <a:xfrm>
            <a:off x="4426744" y="2878930"/>
            <a:ext cx="1285875" cy="7143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40EF759-C84D-4840-87D5-D22E7BE00BE3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293</a:t>
            </a:fld>
            <a:endParaRPr lang="pt-BR" sz="24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10</xdr:col>
      <xdr:colOff>54767</xdr:colOff>
      <xdr:row>12</xdr:row>
      <xdr:rowOff>72628</xdr:rowOff>
    </xdr:from>
    <xdr:to>
      <xdr:col>13</xdr:col>
      <xdr:colOff>483393</xdr:colOff>
      <xdr:row>18</xdr:row>
      <xdr:rowOff>60722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6C6BFE24-9CF1-FCA3-ADEC-022DF5E3A66C}"/>
            </a:ext>
          </a:extLst>
        </xdr:cNvPr>
        <xdr:cNvGrpSpPr/>
      </xdr:nvGrpSpPr>
      <xdr:grpSpPr>
        <a:xfrm>
          <a:off x="6603205" y="2846784"/>
          <a:ext cx="2083594" cy="1131094"/>
          <a:chOff x="6627019" y="2471738"/>
          <a:chExt cx="2083594" cy="1131094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A6BF66E-000F-4289-BE93-FB8527CEC253}"/>
              </a:ext>
            </a:extLst>
          </xdr:cNvPr>
          <xdr:cNvSpPr/>
        </xdr:nvSpPr>
        <xdr:spPr>
          <a:xfrm>
            <a:off x="6638924" y="2507457"/>
            <a:ext cx="2071688" cy="109537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2053457D-C3DA-4220-B99E-271C09BC9C81}"/>
              </a:ext>
            </a:extLst>
          </xdr:cNvPr>
          <xdr:cNvSpPr/>
        </xdr:nvSpPr>
        <xdr:spPr>
          <a:xfrm>
            <a:off x="6627019" y="2471738"/>
            <a:ext cx="2083594" cy="333375"/>
          </a:xfrm>
          <a:prstGeom prst="round2SameRect">
            <a:avLst/>
          </a:prstGeom>
          <a:solidFill>
            <a:srgbClr val="22C55E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solidFill>
                  <a:schemeClr val="bg1"/>
                </a:solidFill>
              </a:rPr>
              <a:t>AVERAGE TICKET</a:t>
            </a:r>
          </a:p>
        </xdr:txBody>
      </xdr:sp>
    </xdr:grpSp>
    <xdr:clientData/>
  </xdr:twoCellAnchor>
  <xdr:twoCellAnchor>
    <xdr:from>
      <xdr:col>10</xdr:col>
      <xdr:colOff>176210</xdr:colOff>
      <xdr:row>14</xdr:row>
      <xdr:rowOff>39290</xdr:rowOff>
    </xdr:from>
    <xdr:to>
      <xdr:col>13</xdr:col>
      <xdr:colOff>404811</xdr:colOff>
      <xdr:row>18</xdr:row>
      <xdr:rowOff>63102</xdr:rowOff>
    </xdr:to>
    <xdr:sp macro="" textlink="C̳álculos!J9">
      <xdr:nvSpPr>
        <xdr:cNvPr id="31" name="Retângulo 30">
          <a:extLst>
            <a:ext uri="{FF2B5EF4-FFF2-40B4-BE49-F238E27FC236}">
              <a16:creationId xmlns:a16="http://schemas.microsoft.com/office/drawing/2014/main" id="{612E9266-270F-4049-876B-2ACCEF2B0724}"/>
            </a:ext>
          </a:extLst>
        </xdr:cNvPr>
        <xdr:cNvSpPr/>
      </xdr:nvSpPr>
      <xdr:spPr>
        <a:xfrm>
          <a:off x="6724648" y="2932509"/>
          <a:ext cx="1883569" cy="785812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963A4F40-F061-4548-BB09-DBF095E845EF}" type="TxLink">
            <a:rPr lang="en-US" sz="24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rPr>
            <a:pPr marL="0" indent="0" algn="ctr"/>
            <a:t> R$ 25,99 </a:t>
          </a:fld>
          <a:endParaRPr lang="pt-BR" sz="2400" b="0" i="0" u="none" strike="noStrike">
            <a:solidFill>
              <a:srgbClr val="22C55E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442912</xdr:colOff>
      <xdr:row>12</xdr:row>
      <xdr:rowOff>83939</xdr:rowOff>
    </xdr:from>
    <xdr:to>
      <xdr:col>22</xdr:col>
      <xdr:colOff>97631</xdr:colOff>
      <xdr:row>18</xdr:row>
      <xdr:rowOff>48221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4D7B6F1-A398-0B3F-C363-55D8FD1A73B3}"/>
            </a:ext>
          </a:extLst>
        </xdr:cNvPr>
        <xdr:cNvGrpSpPr/>
      </xdr:nvGrpSpPr>
      <xdr:grpSpPr>
        <a:xfrm>
          <a:off x="11682412" y="2858095"/>
          <a:ext cx="2083594" cy="1107282"/>
          <a:chOff x="11610975" y="2490786"/>
          <a:chExt cx="2083594" cy="1107282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AC922487-3014-4C79-827F-B33BCB6CE264}"/>
              </a:ext>
            </a:extLst>
          </xdr:cNvPr>
          <xdr:cNvSpPr/>
        </xdr:nvSpPr>
        <xdr:spPr>
          <a:xfrm>
            <a:off x="11622881" y="2502693"/>
            <a:ext cx="2071688" cy="109537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E7EF2CB4-877D-410F-9970-BE070CB57E2F}"/>
              </a:ext>
            </a:extLst>
          </xdr:cNvPr>
          <xdr:cNvSpPr/>
        </xdr:nvSpPr>
        <xdr:spPr>
          <a:xfrm>
            <a:off x="11610975" y="2490786"/>
            <a:ext cx="2083594" cy="333375"/>
          </a:xfrm>
          <a:prstGeom prst="round2SameRect">
            <a:avLst/>
          </a:prstGeom>
          <a:solidFill>
            <a:srgbClr val="22C55E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baseline="0">
                <a:solidFill>
                  <a:schemeClr val="bg1"/>
                </a:solidFill>
              </a:rPr>
              <a:t>MINECRAFT REVENUE</a:t>
            </a:r>
          </a:p>
        </xdr:txBody>
      </xdr:sp>
      <xdr:sp macro="" textlink="C̳álculos!H23">
        <xdr:nvSpPr>
          <xdr:cNvPr id="33" name="Retângulo 32">
            <a:extLst>
              <a:ext uri="{FF2B5EF4-FFF2-40B4-BE49-F238E27FC236}">
                <a16:creationId xmlns:a16="http://schemas.microsoft.com/office/drawing/2014/main" id="{572F81A7-2D94-458E-9EDD-26FA9E2C91CE}"/>
              </a:ext>
            </a:extLst>
          </xdr:cNvPr>
          <xdr:cNvSpPr/>
        </xdr:nvSpPr>
        <xdr:spPr>
          <a:xfrm>
            <a:off x="11780045" y="2981323"/>
            <a:ext cx="1754980" cy="58817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6C2F003-F0E1-4E45-A689-254B60D07344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R$ 3.860,00 </a:t>
            </a:fld>
            <a:endParaRPr lang="pt-BR" sz="71400">
              <a:solidFill>
                <a:srgbClr val="22C55E"/>
              </a:solidFill>
            </a:endParaRP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E48662D-799B-44B5-A631-629E10239985}"/>
              </a:ext>
            </a:extLst>
          </xdr:cNvPr>
          <xdr:cNvGrpSpPr/>
        </xdr:nvGrpSpPr>
        <xdr:grpSpPr>
          <a:xfrm>
            <a:off x="11680033" y="2809876"/>
            <a:ext cx="511968" cy="297655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24CC8E6C-C2CB-E250-2D9E-E99680F6EB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1A4B75E5-775D-5A69-C534-B34BD9D22A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13606</xdr:colOff>
      <xdr:row>19</xdr:row>
      <xdr:rowOff>149678</xdr:rowOff>
    </xdr:from>
    <xdr:to>
      <xdr:col>11</xdr:col>
      <xdr:colOff>380999</xdr:colOff>
      <xdr:row>37</xdr:row>
      <xdr:rowOff>95249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8807E918-C258-48B7-9480-6A800A5AC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268741</xdr:colOff>
      <xdr:row>19</xdr:row>
      <xdr:rowOff>159032</xdr:rowOff>
    </xdr:from>
    <xdr:to>
      <xdr:col>22</xdr:col>
      <xdr:colOff>214312</xdr:colOff>
      <xdr:row>37</xdr:row>
      <xdr:rowOff>85894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2EC788DD-1544-4F2F-936C-9CDEADA49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390070</xdr:colOff>
      <xdr:row>1</xdr:row>
      <xdr:rowOff>15118</xdr:rowOff>
    </xdr:from>
    <xdr:to>
      <xdr:col>0</xdr:col>
      <xdr:colOff>1085395</xdr:colOff>
      <xdr:row>2</xdr:row>
      <xdr:rowOff>213026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9D133F1-7EE9-4F8E-9FDB-33E1EDBA1128}"/>
            </a:ext>
          </a:extLst>
        </xdr:cNvPr>
        <xdr:cNvSpPr/>
      </xdr:nvSpPr>
      <xdr:spPr>
        <a:xfrm>
          <a:off x="390070" y="205618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11905</xdr:colOff>
      <xdr:row>19</xdr:row>
      <xdr:rowOff>119063</xdr:rowOff>
    </xdr:from>
    <xdr:to>
      <xdr:col>11</xdr:col>
      <xdr:colOff>380999</xdr:colOff>
      <xdr:row>21</xdr:row>
      <xdr:rowOff>71438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432416DD-DEBE-461E-91D1-A84FB7DF26FF}"/>
            </a:ext>
          </a:extLst>
        </xdr:cNvPr>
        <xdr:cNvSpPr/>
      </xdr:nvSpPr>
      <xdr:spPr>
        <a:xfrm>
          <a:off x="1559718" y="3964782"/>
          <a:ext cx="5976937" cy="333375"/>
        </a:xfrm>
        <a:prstGeom prst="round2SameRect">
          <a:avLst/>
        </a:prstGeom>
        <a:solidFill>
          <a:srgbClr val="22C55E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CLIENTS BY XBOX GAME PASS PLAN</a:t>
          </a:r>
        </a:p>
      </xdr:txBody>
    </xdr:sp>
    <xdr:clientData/>
  </xdr:twoCellAnchor>
  <xdr:twoCellAnchor>
    <xdr:from>
      <xdr:col>12</xdr:col>
      <xdr:colOff>295274</xdr:colOff>
      <xdr:row>19</xdr:row>
      <xdr:rowOff>116682</xdr:rowOff>
    </xdr:from>
    <xdr:to>
      <xdr:col>22</xdr:col>
      <xdr:colOff>200024</xdr:colOff>
      <xdr:row>21</xdr:row>
      <xdr:rowOff>69057</xdr:rowOff>
    </xdr:to>
    <xdr:sp macro="" textlink="">
      <xdr:nvSpPr>
        <xdr:cNvPr id="39" name="Retângulo: Cantos Superiores Arredondados 38">
          <a:extLst>
            <a:ext uri="{FF2B5EF4-FFF2-40B4-BE49-F238E27FC236}">
              <a16:creationId xmlns:a16="http://schemas.microsoft.com/office/drawing/2014/main" id="{EDB7026F-5ED2-4527-B80A-07426A3FD39D}"/>
            </a:ext>
          </a:extLst>
        </xdr:cNvPr>
        <xdr:cNvSpPr/>
      </xdr:nvSpPr>
      <xdr:spPr>
        <a:xfrm>
          <a:off x="7891462" y="3962401"/>
          <a:ext cx="5976937" cy="333375"/>
        </a:xfrm>
        <a:prstGeom prst="round2SameRect">
          <a:avLst/>
        </a:prstGeom>
        <a:solidFill>
          <a:srgbClr val="22C55E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 BY XBOX GAME PASS PLAN</a:t>
          </a:r>
          <a:endParaRPr lang="pt-BR">
            <a:effectLst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6:24:54.4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593 1 24575,'-2'3'0,"0"1"0,0 0 0,-1 0 0,1-1 0,-1 1 0,1-1 0,-1 0 0,0 0 0,0 0 0,-1 0 0,1 0 0,-5 2 0,-5 6 0,-79 72 0,-62 63 0,58-52 0,-46 52 0,137-141 0,-1 1 0,0 0 0,1 1 0,0-1 0,0 1 0,1 0 0,-1 1 0,2-1 0,-1 1 0,-4 12 0,9-19 0,-1 0 0,0 0 0,1 1 0,-1-1 0,0 0 0,1 0 0,-1 0 0,1 0 0,0 0 0,-1-1 0,1 1 0,0 0 0,0 0 0,-1 0 0,1 0 0,0-1 0,0 1 0,0 0 0,0-1 0,0 1 0,0-1 0,0 1 0,0-1 0,0 0 0,0 1 0,0-1 0,0 0 0,1 0 0,-1 0 0,1 1 0,42 3 0,-39-4 0,442 0 0,-186-3 0,53 3-1365,-292 0-5461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Mateus" refreshedDate="46221.476810416665" createdVersion="8" refreshedVersion="8" minRefreshableVersion="3" recordCount="293" xr:uid="{82968337-AAFF-4850-B536-22C496E1A439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714025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x v="0"/>
    <x v="0"/>
    <s v="Yes"/>
    <n v="30"/>
    <s v="Yes"/>
    <n v="20"/>
    <n v="5"/>
    <n v="60"/>
  </r>
  <r>
    <n v="3232"/>
    <s v="Maria Oliveira"/>
    <x v="1"/>
    <d v="2024-01-15T00:00:00"/>
    <x v="1"/>
    <x v="1"/>
    <x v="1"/>
    <s v="No"/>
    <s v="-"/>
    <s v="No"/>
    <n v="0"/>
    <n v="0"/>
    <n v="5"/>
  </r>
  <r>
    <n v="3233"/>
    <s v="Lucas Fernandes"/>
    <x v="2"/>
    <d v="2024-02-10T00:00:00"/>
    <x v="0"/>
    <x v="2"/>
    <x v="2"/>
    <s v="No"/>
    <s v="-"/>
    <s v="Yes"/>
    <n v="20"/>
    <n v="10"/>
    <n v="20"/>
  </r>
  <r>
    <n v="3234"/>
    <s v="Ana Souza"/>
    <x v="0"/>
    <d v="2024-02-20T00:00:00"/>
    <x v="1"/>
    <x v="0"/>
    <x v="0"/>
    <s v="Yes"/>
    <n v="30"/>
    <s v="Yes"/>
    <n v="20"/>
    <n v="3"/>
    <n v="62"/>
  </r>
  <r>
    <n v="3235"/>
    <s v="Pedro Gonçalves"/>
    <x v="1"/>
    <d v="2024-03-05T00:00:00"/>
    <x v="0"/>
    <x v="1"/>
    <x v="0"/>
    <s v="No"/>
    <s v="-"/>
    <s v="No"/>
    <n v="0"/>
    <n v="1"/>
    <n v="4"/>
  </r>
  <r>
    <n v="3236"/>
    <s v="Felipe Costa"/>
    <x v="2"/>
    <d v="2024-03-02T00:00:00"/>
    <x v="1"/>
    <x v="2"/>
    <x v="0"/>
    <s v="No"/>
    <s v="-"/>
    <s v="Yes"/>
    <n v="20"/>
    <n v="2"/>
    <n v="28"/>
  </r>
  <r>
    <n v="3237"/>
    <s v="Camila Ribeiro"/>
    <x v="0"/>
    <d v="2024-03-03T00:00:00"/>
    <x v="0"/>
    <x v="0"/>
    <x v="2"/>
    <s v="Yes"/>
    <n v="30"/>
    <s v="Yes"/>
    <n v="20"/>
    <n v="10"/>
    <n v="55"/>
  </r>
  <r>
    <n v="3238"/>
    <s v="André Mendes"/>
    <x v="1"/>
    <d v="2024-03-04T00:00:00"/>
    <x v="0"/>
    <x v="1"/>
    <x v="1"/>
    <s v="No"/>
    <s v="-"/>
    <s v="No"/>
    <n v="0"/>
    <n v="0"/>
    <n v="5"/>
  </r>
  <r>
    <n v="3239"/>
    <s v="Sofia Almeida"/>
    <x v="0"/>
    <d v="2024-03-05T00:00:00"/>
    <x v="1"/>
    <x v="0"/>
    <x v="0"/>
    <s v="Yes"/>
    <n v="30"/>
    <s v="Yes"/>
    <n v="20"/>
    <n v="5"/>
    <n v="60"/>
  </r>
  <r>
    <n v="3240"/>
    <s v="Bruno Martins"/>
    <x v="2"/>
    <d v="2024-03-06T00:00:00"/>
    <x v="0"/>
    <x v="2"/>
    <x v="2"/>
    <s v="No"/>
    <s v="-"/>
    <s v="Yes"/>
    <n v="20"/>
    <n v="15"/>
    <n v="15"/>
  </r>
  <r>
    <n v="3241"/>
    <s v="Rita Castro"/>
    <x v="1"/>
    <d v="2024-03-07T00:00:00"/>
    <x v="1"/>
    <x v="1"/>
    <x v="0"/>
    <s v="No"/>
    <s v="-"/>
    <s v="No"/>
    <n v="0"/>
    <n v="1"/>
    <n v="4"/>
  </r>
  <r>
    <n v="3242"/>
    <s v="Marco Túlio"/>
    <x v="0"/>
    <d v="2024-03-08T00:00:00"/>
    <x v="0"/>
    <x v="0"/>
    <x v="1"/>
    <s v="Yes"/>
    <n v="30"/>
    <s v="Yes"/>
    <n v="20"/>
    <n v="20"/>
    <n v="45"/>
  </r>
  <r>
    <n v="3243"/>
    <s v="Lívia Silveira"/>
    <x v="2"/>
    <d v="2024-03-09T00:00:00"/>
    <x v="1"/>
    <x v="2"/>
    <x v="0"/>
    <s v="No"/>
    <s v="-"/>
    <s v="Yes"/>
    <n v="20"/>
    <n v="10"/>
    <n v="20"/>
  </r>
  <r>
    <n v="3244"/>
    <s v="Diogo Sousa"/>
    <x v="1"/>
    <d v="2024-03-10T00:00:00"/>
    <x v="0"/>
    <x v="1"/>
    <x v="2"/>
    <s v="No"/>
    <s v="-"/>
    <s v="No"/>
    <n v="0"/>
    <n v="0"/>
    <n v="5"/>
  </r>
  <r>
    <n v="3245"/>
    <s v="Fernanda Lima"/>
    <x v="0"/>
    <d v="2024-03-11T00:00:00"/>
    <x v="1"/>
    <x v="0"/>
    <x v="0"/>
    <s v="Yes"/>
    <n v="30"/>
    <s v="Yes"/>
    <n v="20"/>
    <n v="8"/>
    <n v="57"/>
  </r>
  <r>
    <n v="3246"/>
    <s v="Caio Pereira"/>
    <x v="2"/>
    <d v="2024-03-12T00:00:00"/>
    <x v="0"/>
    <x v="2"/>
    <x v="1"/>
    <s v="No"/>
    <s v="-"/>
    <s v="Yes"/>
    <n v="20"/>
    <n v="12"/>
    <n v="18"/>
  </r>
  <r>
    <n v="3247"/>
    <s v="Beatriz Gomes"/>
    <x v="1"/>
    <d v="2024-03-13T00:00:00"/>
    <x v="1"/>
    <x v="1"/>
    <x v="0"/>
    <s v="No"/>
    <s v="-"/>
    <s v="No"/>
    <n v="0"/>
    <n v="2"/>
    <n v="3"/>
  </r>
  <r>
    <n v="3248"/>
    <s v="Cesar Oliveira"/>
    <x v="0"/>
    <d v="2024-03-14T00:00:00"/>
    <x v="0"/>
    <x v="0"/>
    <x v="2"/>
    <s v="Yes"/>
    <n v="30"/>
    <s v="Yes"/>
    <n v="20"/>
    <n v="7"/>
    <n v="58"/>
  </r>
  <r>
    <n v="3249"/>
    <s v="Débora Machado"/>
    <x v="2"/>
    <d v="2024-03-15T00:00:00"/>
    <x v="1"/>
    <x v="2"/>
    <x v="0"/>
    <s v="No"/>
    <s v="-"/>
    <s v="Yes"/>
    <n v="20"/>
    <n v="5"/>
    <n v="25"/>
  </r>
  <r>
    <n v="3250"/>
    <s v="Eduardo Vargas"/>
    <x v="1"/>
    <d v="2024-03-16T00:00:00"/>
    <x v="0"/>
    <x v="1"/>
    <x v="1"/>
    <s v="No"/>
    <s v="-"/>
    <s v="No"/>
    <n v="0"/>
    <n v="0"/>
    <n v="5"/>
  </r>
  <r>
    <n v="3251"/>
    <s v="Gabriela Santos"/>
    <x v="0"/>
    <d v="2024-03-17T00:00:00"/>
    <x v="1"/>
    <x v="0"/>
    <x v="0"/>
    <s v="Yes"/>
    <n v="30"/>
    <s v="Yes"/>
    <n v="20"/>
    <n v="3"/>
    <n v="62"/>
  </r>
  <r>
    <n v="3252"/>
    <s v="Henrique Dias"/>
    <x v="2"/>
    <d v="2024-03-18T00:00:00"/>
    <x v="0"/>
    <x v="2"/>
    <x v="2"/>
    <s v="No"/>
    <s v="-"/>
    <s v="Yes"/>
    <n v="20"/>
    <n v="15"/>
    <n v="15"/>
  </r>
  <r>
    <n v="3253"/>
    <s v="Isabela Moreira"/>
    <x v="1"/>
    <d v="2024-03-19T00:00:00"/>
    <x v="1"/>
    <x v="1"/>
    <x v="0"/>
    <s v="No"/>
    <s v="-"/>
    <s v="No"/>
    <n v="0"/>
    <n v="1"/>
    <n v="4"/>
  </r>
  <r>
    <n v="3254"/>
    <s v="Joaquim Barbosa"/>
    <x v="0"/>
    <d v="2024-03-20T00:00:00"/>
    <x v="0"/>
    <x v="0"/>
    <x v="1"/>
    <s v="Yes"/>
    <n v="30"/>
    <s v="Yes"/>
    <n v="20"/>
    <n v="20"/>
    <n v="45"/>
  </r>
  <r>
    <n v="3255"/>
    <s v="Lara Rocha"/>
    <x v="2"/>
    <d v="2024-03-21T00:00:00"/>
    <x v="1"/>
    <x v="2"/>
    <x v="0"/>
    <s v="No"/>
    <s v="-"/>
    <s v="Yes"/>
    <n v="20"/>
    <n v="10"/>
    <n v="20"/>
  </r>
  <r>
    <n v="3256"/>
    <s v="Matheus Silva"/>
    <x v="1"/>
    <d v="2024-03-22T00:00:00"/>
    <x v="0"/>
    <x v="1"/>
    <x v="2"/>
    <s v="No"/>
    <s v="-"/>
    <s v="No"/>
    <n v="0"/>
    <n v="0"/>
    <n v="5"/>
  </r>
  <r>
    <n v="3257"/>
    <s v="Nicole Costa"/>
    <x v="0"/>
    <d v="2024-03-23T00:00:00"/>
    <x v="1"/>
    <x v="0"/>
    <x v="0"/>
    <s v="Yes"/>
    <n v="30"/>
    <s v="Yes"/>
    <n v="20"/>
    <n v="5"/>
    <n v="60"/>
  </r>
  <r>
    <n v="3258"/>
    <s v="Otávio Mendonça"/>
    <x v="2"/>
    <d v="2024-03-24T00:00:00"/>
    <x v="0"/>
    <x v="2"/>
    <x v="1"/>
    <s v="No"/>
    <s v="-"/>
    <s v="Yes"/>
    <n v="20"/>
    <n v="15"/>
    <n v="15"/>
  </r>
  <r>
    <n v="3259"/>
    <s v="Paula Ferreira"/>
    <x v="1"/>
    <d v="2024-03-25T00:00:00"/>
    <x v="1"/>
    <x v="1"/>
    <x v="0"/>
    <s v="No"/>
    <s v="-"/>
    <s v="No"/>
    <n v="0"/>
    <n v="1"/>
    <n v="4"/>
  </r>
  <r>
    <n v="3260"/>
    <s v="Raquel Alves"/>
    <x v="0"/>
    <d v="2024-03-26T00:00:00"/>
    <x v="0"/>
    <x v="0"/>
    <x v="2"/>
    <s v="Yes"/>
    <n v="30"/>
    <s v="Yes"/>
    <n v="20"/>
    <n v="7"/>
    <n v="58"/>
  </r>
  <r>
    <n v="3261"/>
    <s v="Samuel Pires"/>
    <x v="2"/>
    <d v="2024-03-27T00:00:00"/>
    <x v="1"/>
    <x v="2"/>
    <x v="0"/>
    <s v="No"/>
    <s v="-"/>
    <s v="Yes"/>
    <n v="20"/>
    <n v="10"/>
    <n v="20"/>
  </r>
  <r>
    <n v="3262"/>
    <s v="Tânia Barros"/>
    <x v="1"/>
    <d v="2024-03-28T00:00:00"/>
    <x v="0"/>
    <x v="1"/>
    <x v="1"/>
    <s v="No"/>
    <s v="-"/>
    <s v="No"/>
    <n v="0"/>
    <n v="0"/>
    <n v="5"/>
  </r>
  <r>
    <n v="3263"/>
    <s v="Vinicius Lima"/>
    <x v="0"/>
    <d v="2024-03-29T00:00:00"/>
    <x v="1"/>
    <x v="0"/>
    <x v="0"/>
    <s v="Yes"/>
    <n v="30"/>
    <s v="Yes"/>
    <n v="20"/>
    <n v="3"/>
    <n v="62"/>
  </r>
  <r>
    <n v="3264"/>
    <s v="Yasmin Teixeira"/>
    <x v="2"/>
    <d v="2024-03-30T00:00:00"/>
    <x v="0"/>
    <x v="2"/>
    <x v="2"/>
    <s v="No"/>
    <s v="-"/>
    <s v="Yes"/>
    <n v="20"/>
    <n v="15"/>
    <n v="15"/>
  </r>
  <r>
    <n v="3265"/>
    <s v="Zé Carlos"/>
    <x v="1"/>
    <d v="2024-03-31T00:00:00"/>
    <x v="1"/>
    <x v="1"/>
    <x v="0"/>
    <s v="No"/>
    <s v="-"/>
    <s v="No"/>
    <n v="0"/>
    <n v="1"/>
    <n v="4"/>
  </r>
  <r>
    <n v="3266"/>
    <s v="Amanda Nogueira"/>
    <x v="1"/>
    <d v="2024-04-01T00:00:00"/>
    <x v="0"/>
    <x v="1"/>
    <x v="0"/>
    <s v="No"/>
    <s v="-"/>
    <s v="No"/>
    <n v="0"/>
    <n v="0"/>
    <n v="5"/>
  </r>
  <r>
    <n v="3267"/>
    <s v="Bruno Cavalheiro"/>
    <x v="0"/>
    <d v="2024-04-02T00:00:00"/>
    <x v="1"/>
    <x v="0"/>
    <x v="2"/>
    <s v="Yes"/>
    <n v="30"/>
    <s v="Yes"/>
    <n v="20"/>
    <n v="7"/>
    <n v="58"/>
  </r>
  <r>
    <n v="3268"/>
    <s v="Carla Dias"/>
    <x v="2"/>
    <d v="2024-04-03T00:00:00"/>
    <x v="0"/>
    <x v="2"/>
    <x v="1"/>
    <s v="No"/>
    <s v="-"/>
    <s v="Yes"/>
    <n v="20"/>
    <n v="10"/>
    <n v="20"/>
  </r>
  <r>
    <n v="3269"/>
    <s v="Diego Fontes"/>
    <x v="1"/>
    <d v="2024-04-04T00:00:00"/>
    <x v="1"/>
    <x v="1"/>
    <x v="2"/>
    <s v="No"/>
    <s v="-"/>
    <s v="No"/>
    <n v="0"/>
    <n v="1"/>
    <n v="4"/>
  </r>
  <r>
    <n v="3270"/>
    <s v="Eunice Lima"/>
    <x v="0"/>
    <d v="2024-04-05T00:00:00"/>
    <x v="0"/>
    <x v="0"/>
    <x v="0"/>
    <s v="Yes"/>
    <n v="30"/>
    <s v="Yes"/>
    <n v="20"/>
    <n v="15"/>
    <n v="50"/>
  </r>
  <r>
    <n v="3271"/>
    <s v="Fábio Martins"/>
    <x v="2"/>
    <d v="2024-04-06T00:00:00"/>
    <x v="1"/>
    <x v="2"/>
    <x v="0"/>
    <s v="No"/>
    <s v="-"/>
    <s v="Yes"/>
    <n v="20"/>
    <n v="5"/>
    <n v="25"/>
  </r>
  <r>
    <n v="3272"/>
    <s v="Gisele Araújo"/>
    <x v="1"/>
    <d v="2024-04-07T00:00:00"/>
    <x v="0"/>
    <x v="1"/>
    <x v="1"/>
    <s v="No"/>
    <s v="-"/>
    <s v="No"/>
    <n v="0"/>
    <n v="0"/>
    <n v="5"/>
  </r>
  <r>
    <n v="3273"/>
    <s v="Hélio Castro"/>
    <x v="0"/>
    <d v="2024-04-08T00:00:00"/>
    <x v="1"/>
    <x v="0"/>
    <x v="2"/>
    <s v="Yes"/>
    <n v="30"/>
    <s v="Yes"/>
    <n v="20"/>
    <n v="20"/>
    <n v="45"/>
  </r>
  <r>
    <n v="3274"/>
    <s v="Ingrid Menezes"/>
    <x v="2"/>
    <d v="2024-04-09T00:00:00"/>
    <x v="0"/>
    <x v="2"/>
    <x v="2"/>
    <s v="No"/>
    <s v="-"/>
    <s v="Yes"/>
    <n v="20"/>
    <n v="12"/>
    <n v="18"/>
  </r>
  <r>
    <n v="3275"/>
    <s v="Jorge Baptista"/>
    <x v="1"/>
    <d v="2024-04-10T00:00:00"/>
    <x v="1"/>
    <x v="1"/>
    <x v="0"/>
    <s v="No"/>
    <s v="-"/>
    <s v="No"/>
    <n v="0"/>
    <n v="2"/>
    <n v="3"/>
  </r>
  <r>
    <n v="3276"/>
    <s v="Kléber Oliveira"/>
    <x v="0"/>
    <d v="2024-04-11T00:00:00"/>
    <x v="0"/>
    <x v="0"/>
    <x v="1"/>
    <s v="Yes"/>
    <n v="30"/>
    <s v="Yes"/>
    <n v="20"/>
    <n v="5"/>
    <n v="60"/>
  </r>
  <r>
    <n v="3277"/>
    <s v="Luciana Freitas"/>
    <x v="2"/>
    <d v="2024-04-12T00:00:00"/>
    <x v="1"/>
    <x v="2"/>
    <x v="0"/>
    <s v="No"/>
    <s v="-"/>
    <s v="Yes"/>
    <n v="20"/>
    <n v="10"/>
    <n v="20"/>
  </r>
  <r>
    <n v="3278"/>
    <s v="Márcia Eller"/>
    <x v="1"/>
    <d v="2024-04-13T00:00:00"/>
    <x v="0"/>
    <x v="1"/>
    <x v="2"/>
    <s v="No"/>
    <s v="-"/>
    <s v="No"/>
    <n v="0"/>
    <n v="0"/>
    <n v="5"/>
  </r>
  <r>
    <n v="3279"/>
    <s v="Nilo Peçanha"/>
    <x v="0"/>
    <d v="2024-04-14T00:00:00"/>
    <x v="1"/>
    <x v="0"/>
    <x v="0"/>
    <s v="Yes"/>
    <n v="30"/>
    <s v="Yes"/>
    <n v="20"/>
    <n v="3"/>
    <n v="62"/>
  </r>
  <r>
    <n v="3280"/>
    <s v="Oscar Neves"/>
    <x v="2"/>
    <d v="2024-04-15T00:00:00"/>
    <x v="0"/>
    <x v="2"/>
    <x v="1"/>
    <s v="No"/>
    <s v="-"/>
    <s v="Yes"/>
    <n v="20"/>
    <n v="15"/>
    <n v="15"/>
  </r>
  <r>
    <n v="3281"/>
    <s v="Patrícia Soares"/>
    <x v="1"/>
    <d v="2024-04-16T00:00:00"/>
    <x v="1"/>
    <x v="1"/>
    <x v="0"/>
    <s v="No"/>
    <s v="-"/>
    <s v="No"/>
    <n v="0"/>
    <n v="1"/>
    <n v="4"/>
  </r>
  <r>
    <n v="3282"/>
    <s v="Quirino Gonçalves"/>
    <x v="0"/>
    <d v="2024-04-17T00:00:00"/>
    <x v="0"/>
    <x v="0"/>
    <x v="2"/>
    <s v="Yes"/>
    <n v="30"/>
    <s v="Yes"/>
    <n v="20"/>
    <n v="7"/>
    <n v="58"/>
  </r>
  <r>
    <n v="3283"/>
    <s v="Raul Machado"/>
    <x v="2"/>
    <d v="2024-04-18T00:00:00"/>
    <x v="1"/>
    <x v="2"/>
    <x v="0"/>
    <s v="No"/>
    <s v="-"/>
    <s v="Yes"/>
    <n v="20"/>
    <n v="10"/>
    <n v="20"/>
  </r>
  <r>
    <n v="3284"/>
    <s v="Sônia Lobo"/>
    <x v="1"/>
    <d v="2024-04-19T00:00:00"/>
    <x v="0"/>
    <x v="1"/>
    <x v="1"/>
    <s v="No"/>
    <s v="-"/>
    <s v="No"/>
    <n v="0"/>
    <n v="0"/>
    <n v="5"/>
  </r>
  <r>
    <n v="3285"/>
    <s v="Tiago Ramos"/>
    <x v="0"/>
    <d v="2024-04-20T00:00:00"/>
    <x v="1"/>
    <x v="0"/>
    <x v="0"/>
    <s v="Yes"/>
    <n v="30"/>
    <s v="Yes"/>
    <n v="20"/>
    <n v="20"/>
    <n v="45"/>
  </r>
  <r>
    <n v="3286"/>
    <s v="Ugo Pires"/>
    <x v="2"/>
    <d v="2024-04-21T00:00:00"/>
    <x v="0"/>
    <x v="2"/>
    <x v="2"/>
    <s v="No"/>
    <s v="-"/>
    <s v="Yes"/>
    <n v="20"/>
    <n v="15"/>
    <n v="15"/>
  </r>
  <r>
    <n v="3287"/>
    <s v="Valéria Nobre"/>
    <x v="1"/>
    <d v="2024-04-22T00:00:00"/>
    <x v="1"/>
    <x v="1"/>
    <x v="0"/>
    <s v="No"/>
    <s v="-"/>
    <s v="No"/>
    <n v="0"/>
    <n v="1"/>
    <n v="4"/>
  </r>
  <r>
    <n v="3288"/>
    <s v="William Siqueira"/>
    <x v="0"/>
    <d v="2024-04-23T00:00:00"/>
    <x v="0"/>
    <x v="0"/>
    <x v="1"/>
    <s v="Yes"/>
    <n v="30"/>
    <s v="Yes"/>
    <n v="20"/>
    <n v="3"/>
    <n v="62"/>
  </r>
  <r>
    <n v="3289"/>
    <s v="Xuxa Meneghel"/>
    <x v="2"/>
    <d v="2024-04-24T00:00:00"/>
    <x v="1"/>
    <x v="2"/>
    <x v="0"/>
    <s v="No"/>
    <s v="-"/>
    <s v="Yes"/>
    <n v="20"/>
    <n v="10"/>
    <n v="20"/>
  </r>
  <r>
    <n v="3290"/>
    <s v="Yara Figueiredo"/>
    <x v="1"/>
    <d v="2024-04-25T00:00:00"/>
    <x v="0"/>
    <x v="1"/>
    <x v="2"/>
    <s v="No"/>
    <s v="-"/>
    <s v="No"/>
    <n v="0"/>
    <n v="0"/>
    <n v="5"/>
  </r>
  <r>
    <n v="3291"/>
    <s v="Zacarias Alves"/>
    <x v="0"/>
    <d v="2024-04-26T00:00:00"/>
    <x v="1"/>
    <x v="0"/>
    <x v="0"/>
    <s v="Yes"/>
    <n v="30"/>
    <s v="Yes"/>
    <n v="20"/>
    <n v="5"/>
    <n v="60"/>
  </r>
  <r>
    <n v="3292"/>
    <s v="Amanda Bynes"/>
    <x v="2"/>
    <d v="2024-04-27T00:00:00"/>
    <x v="0"/>
    <x v="2"/>
    <x v="1"/>
    <s v="No"/>
    <s v="-"/>
    <s v="Yes"/>
    <n v="20"/>
    <n v="15"/>
    <n v="15"/>
  </r>
  <r>
    <n v="3293"/>
    <s v="Bruno Mars"/>
    <x v="1"/>
    <d v="2024-04-28T00:00:00"/>
    <x v="1"/>
    <x v="1"/>
    <x v="0"/>
    <s v="No"/>
    <s v="-"/>
    <s v="No"/>
    <n v="0"/>
    <n v="1"/>
    <n v="4"/>
  </r>
  <r>
    <n v="3294"/>
    <s v="Carla Bruni"/>
    <x v="0"/>
    <d v="2024-04-29T00:00:00"/>
    <x v="0"/>
    <x v="0"/>
    <x v="2"/>
    <s v="Yes"/>
    <n v="30"/>
    <s v="Yes"/>
    <n v="20"/>
    <n v="20"/>
    <n v="45"/>
  </r>
  <r>
    <n v="3295"/>
    <s v="Diego Maradona"/>
    <x v="2"/>
    <d v="2024-04-30T00:00:00"/>
    <x v="1"/>
    <x v="2"/>
    <x v="0"/>
    <s v="No"/>
    <s v="-"/>
    <s v="Yes"/>
    <n v="20"/>
    <n v="5"/>
    <n v="25"/>
  </r>
  <r>
    <n v="3296"/>
    <s v="Estela Marques"/>
    <x v="1"/>
    <d v="2024-05-01T00:00:00"/>
    <x v="1"/>
    <x v="1"/>
    <x v="0"/>
    <s v="No"/>
    <s v="-"/>
    <s v="No"/>
    <n v="0"/>
    <n v="0"/>
    <n v="5"/>
  </r>
  <r>
    <n v="3297"/>
    <s v="Fábio Nobre"/>
    <x v="0"/>
    <d v="2024-05-02T00:00:00"/>
    <x v="0"/>
    <x v="0"/>
    <x v="2"/>
    <s v="Yes"/>
    <n v="30"/>
    <s v="Yes"/>
    <n v="20"/>
    <n v="7"/>
    <n v="58"/>
  </r>
  <r>
    <n v="3298"/>
    <s v="Gabriel Oliveira"/>
    <x v="2"/>
    <d v="2024-05-03T00:00:00"/>
    <x v="1"/>
    <x v="2"/>
    <x v="1"/>
    <s v="No"/>
    <s v="-"/>
    <s v="Yes"/>
    <n v="20"/>
    <n v="10"/>
    <n v="20"/>
  </r>
  <r>
    <n v="3299"/>
    <s v="Helena Santos"/>
    <x v="1"/>
    <d v="2024-05-04T00:00:00"/>
    <x v="0"/>
    <x v="1"/>
    <x v="2"/>
    <s v="No"/>
    <s v="-"/>
    <s v="No"/>
    <n v="0"/>
    <n v="1"/>
    <n v="4"/>
  </r>
  <r>
    <n v="3300"/>
    <s v="Ivan Carvalho"/>
    <x v="0"/>
    <d v="2024-05-05T00:00:00"/>
    <x v="1"/>
    <x v="0"/>
    <x v="0"/>
    <s v="Yes"/>
    <n v="30"/>
    <s v="Yes"/>
    <n v="20"/>
    <n v="15"/>
    <n v="50"/>
  </r>
  <r>
    <n v="3301"/>
    <s v="Júlia Ferreira"/>
    <x v="2"/>
    <d v="2024-05-06T00:00:00"/>
    <x v="0"/>
    <x v="2"/>
    <x v="0"/>
    <s v="No"/>
    <s v="-"/>
    <s v="Yes"/>
    <n v="20"/>
    <n v="5"/>
    <n v="25"/>
  </r>
  <r>
    <n v="3302"/>
    <s v="Karla Alves"/>
    <x v="1"/>
    <d v="2024-05-07T00:00:00"/>
    <x v="1"/>
    <x v="1"/>
    <x v="1"/>
    <s v="No"/>
    <s v="-"/>
    <s v="No"/>
    <n v="0"/>
    <n v="0"/>
    <n v="5"/>
  </r>
  <r>
    <n v="3303"/>
    <s v="Lucas Mendes"/>
    <x v="0"/>
    <d v="2024-05-08T00:00:00"/>
    <x v="0"/>
    <x v="0"/>
    <x v="2"/>
    <s v="Yes"/>
    <n v="30"/>
    <s v="Yes"/>
    <n v="20"/>
    <n v="20"/>
    <n v="45"/>
  </r>
  <r>
    <n v="3304"/>
    <s v="Mônica Gomes"/>
    <x v="2"/>
    <d v="2024-05-09T00:00:00"/>
    <x v="1"/>
    <x v="2"/>
    <x v="2"/>
    <s v="No"/>
    <s v="-"/>
    <s v="Yes"/>
    <n v="20"/>
    <n v="12"/>
    <n v="18"/>
  </r>
  <r>
    <n v="3305"/>
    <s v="Norberto Queiroz"/>
    <x v="1"/>
    <d v="2024-05-10T00:00:00"/>
    <x v="0"/>
    <x v="1"/>
    <x v="0"/>
    <s v="No"/>
    <s v="-"/>
    <s v="No"/>
    <n v="0"/>
    <n v="2"/>
    <n v="3"/>
  </r>
  <r>
    <n v="3306"/>
    <s v="Otávio Barros"/>
    <x v="0"/>
    <d v="2024-05-11T00:00:00"/>
    <x v="1"/>
    <x v="0"/>
    <x v="1"/>
    <s v="Yes"/>
    <n v="30"/>
    <s v="Yes"/>
    <n v="20"/>
    <n v="5"/>
    <n v="60"/>
  </r>
  <r>
    <n v="3307"/>
    <s v="Paula Vieira"/>
    <x v="2"/>
    <d v="2024-05-12T00:00:00"/>
    <x v="0"/>
    <x v="2"/>
    <x v="0"/>
    <s v="No"/>
    <s v="-"/>
    <s v="Yes"/>
    <n v="20"/>
    <n v="10"/>
    <n v="20"/>
  </r>
  <r>
    <n v="3308"/>
    <s v="Quentin Ramos"/>
    <x v="1"/>
    <d v="2024-05-13T00:00:00"/>
    <x v="1"/>
    <x v="1"/>
    <x v="2"/>
    <s v="No"/>
    <s v="-"/>
    <s v="No"/>
    <n v="0"/>
    <n v="0"/>
    <n v="5"/>
  </r>
  <r>
    <n v="3309"/>
    <s v="Raquel Novaes"/>
    <x v="0"/>
    <d v="2024-05-14T00:00:00"/>
    <x v="0"/>
    <x v="0"/>
    <x v="0"/>
    <s v="Yes"/>
    <n v="30"/>
    <s v="Yes"/>
    <n v="20"/>
    <n v="3"/>
    <n v="62"/>
  </r>
  <r>
    <n v="3310"/>
    <s v="Samantha Lopes"/>
    <x v="2"/>
    <d v="2024-05-15T00:00:00"/>
    <x v="1"/>
    <x v="2"/>
    <x v="1"/>
    <s v="No"/>
    <s v="-"/>
    <s v="Yes"/>
    <n v="20"/>
    <n v="15"/>
    <n v="15"/>
  </r>
  <r>
    <n v="3311"/>
    <s v="Tiago Martins"/>
    <x v="1"/>
    <d v="2024-05-16T00:00:00"/>
    <x v="0"/>
    <x v="1"/>
    <x v="0"/>
    <s v="No"/>
    <s v="-"/>
    <s v="No"/>
    <n v="0"/>
    <n v="1"/>
    <n v="4"/>
  </r>
  <r>
    <n v="3312"/>
    <s v="Ulysses Guimarães"/>
    <x v="0"/>
    <d v="2024-05-17T00:00:00"/>
    <x v="1"/>
    <x v="0"/>
    <x v="2"/>
    <s v="Yes"/>
    <n v="30"/>
    <s v="Yes"/>
    <n v="20"/>
    <n v="7"/>
    <n v="58"/>
  </r>
  <r>
    <n v="3313"/>
    <s v="Vanessa Silva"/>
    <x v="2"/>
    <d v="2024-05-18T00:00:00"/>
    <x v="0"/>
    <x v="2"/>
    <x v="0"/>
    <s v="No"/>
    <s v="-"/>
    <s v="Yes"/>
    <n v="20"/>
    <n v="10"/>
    <n v="20"/>
  </r>
  <r>
    <n v="3314"/>
    <s v="William Carneiro"/>
    <x v="1"/>
    <d v="2024-05-19T00:00:00"/>
    <x v="1"/>
    <x v="1"/>
    <x v="1"/>
    <s v="No"/>
    <s v="-"/>
    <s v="No"/>
    <n v="0"/>
    <n v="0"/>
    <n v="5"/>
  </r>
  <r>
    <n v="3315"/>
    <s v="Ximena Rocha"/>
    <x v="0"/>
    <d v="2024-05-20T00:00:00"/>
    <x v="0"/>
    <x v="0"/>
    <x v="0"/>
    <s v="Yes"/>
    <n v="30"/>
    <s v="Yes"/>
    <n v="20"/>
    <n v="20"/>
    <n v="45"/>
  </r>
  <r>
    <n v="3316"/>
    <s v="Yasmin Figueiredo"/>
    <x v="2"/>
    <d v="2024-05-21T00:00:00"/>
    <x v="1"/>
    <x v="2"/>
    <x v="2"/>
    <s v="No"/>
    <s v="-"/>
    <s v="Yes"/>
    <n v="20"/>
    <n v="15"/>
    <n v="15"/>
  </r>
  <r>
    <n v="3317"/>
    <s v="Zara Cunha"/>
    <x v="1"/>
    <d v="2024-05-22T00:00:00"/>
    <x v="0"/>
    <x v="1"/>
    <x v="0"/>
    <s v="No"/>
    <s v="-"/>
    <s v="No"/>
    <n v="0"/>
    <n v="1"/>
    <n v="4"/>
  </r>
  <r>
    <n v="3318"/>
    <s v="Alan Teixeira"/>
    <x v="0"/>
    <d v="2024-05-23T00:00:00"/>
    <x v="1"/>
    <x v="0"/>
    <x v="1"/>
    <s v="Yes"/>
    <n v="30"/>
    <s v="Yes"/>
    <n v="20"/>
    <n v="3"/>
    <n v="62"/>
  </r>
  <r>
    <n v="3319"/>
    <s v="Bárbara Oliveira"/>
    <x v="2"/>
    <d v="2024-05-24T00:00:00"/>
    <x v="0"/>
    <x v="2"/>
    <x v="0"/>
    <s v="No"/>
    <s v="-"/>
    <s v="Yes"/>
    <n v="20"/>
    <n v="10"/>
    <n v="20"/>
  </r>
  <r>
    <n v="3320"/>
    <s v="Carlos Junqueira"/>
    <x v="1"/>
    <d v="2024-05-25T00:00:00"/>
    <x v="1"/>
    <x v="1"/>
    <x v="2"/>
    <s v="No"/>
    <s v="-"/>
    <s v="No"/>
    <n v="0"/>
    <n v="0"/>
    <n v="5"/>
  </r>
  <r>
    <n v="3321"/>
    <s v="Daniela Moura"/>
    <x v="0"/>
    <d v="2024-05-26T00:00:00"/>
    <x v="0"/>
    <x v="0"/>
    <x v="0"/>
    <s v="Yes"/>
    <n v="30"/>
    <s v="Yes"/>
    <n v="20"/>
    <n v="5"/>
    <n v="60"/>
  </r>
  <r>
    <n v="3322"/>
    <s v="Eduardo Lima"/>
    <x v="2"/>
    <d v="2024-05-27T00:00:00"/>
    <x v="1"/>
    <x v="2"/>
    <x v="1"/>
    <s v="No"/>
    <s v="-"/>
    <s v="Yes"/>
    <n v="20"/>
    <n v="15"/>
    <n v="15"/>
  </r>
  <r>
    <n v="3323"/>
    <s v="Fabiana Araújo"/>
    <x v="1"/>
    <d v="2024-05-28T00:00:00"/>
    <x v="0"/>
    <x v="1"/>
    <x v="0"/>
    <s v="No"/>
    <s v="-"/>
    <s v="No"/>
    <n v="0"/>
    <n v="1"/>
    <n v="4"/>
  </r>
  <r>
    <n v="3324"/>
    <s v="Geraldo Ribeiro"/>
    <x v="0"/>
    <d v="2024-05-29T00:00:00"/>
    <x v="1"/>
    <x v="0"/>
    <x v="2"/>
    <s v="Yes"/>
    <n v="30"/>
    <s v="Yes"/>
    <n v="20"/>
    <n v="20"/>
    <n v="45"/>
  </r>
  <r>
    <n v="3325"/>
    <s v="Héctor Vargas"/>
    <x v="2"/>
    <d v="2024-05-30T00:00:00"/>
    <x v="0"/>
    <x v="2"/>
    <x v="2"/>
    <s v="No"/>
    <s v="-"/>
    <s v="Yes"/>
    <n v="20"/>
    <n v="15"/>
    <n v="15"/>
  </r>
  <r>
    <n v="3326"/>
    <s v="Isabela Fonseca"/>
    <x v="1"/>
    <d v="2024-05-31T00:00:00"/>
    <x v="1"/>
    <x v="1"/>
    <x v="1"/>
    <s v="No"/>
    <s v="-"/>
    <s v="No"/>
    <n v="0"/>
    <n v="0"/>
    <n v="5"/>
  </r>
  <r>
    <n v="3327"/>
    <s v="João Pedro Almeida"/>
    <x v="0"/>
    <d v="2024-06-01T00:00:00"/>
    <x v="0"/>
    <x v="0"/>
    <x v="0"/>
    <s v="Yes"/>
    <n v="30"/>
    <s v="Yes"/>
    <n v="20"/>
    <n v="7"/>
    <n v="58"/>
  </r>
  <r>
    <n v="3328"/>
    <s v="Klara Costa"/>
    <x v="2"/>
    <d v="2024-06-02T00:00:00"/>
    <x v="1"/>
    <x v="2"/>
    <x v="1"/>
    <s v="No"/>
    <s v="-"/>
    <s v="Yes"/>
    <n v="20"/>
    <n v="10"/>
    <n v="20"/>
  </r>
  <r>
    <n v="3329"/>
    <s v="Luciana Mendes"/>
    <x v="1"/>
    <d v="2024-06-03T00:00:00"/>
    <x v="0"/>
    <x v="1"/>
    <x v="2"/>
    <s v="No"/>
    <s v="-"/>
    <s v="No"/>
    <n v="0"/>
    <n v="1"/>
    <n v="4"/>
  </r>
  <r>
    <n v="3330"/>
    <s v="Marcelo Gouveia"/>
    <x v="0"/>
    <d v="2024-06-04T00:00:00"/>
    <x v="1"/>
    <x v="0"/>
    <x v="0"/>
    <s v="Yes"/>
    <n v="30"/>
    <s v="Yes"/>
    <n v="20"/>
    <n v="15"/>
    <n v="50"/>
  </r>
  <r>
    <n v="3331"/>
    <s v="Nívea Borges"/>
    <x v="2"/>
    <d v="2024-06-05T00:00:00"/>
    <x v="0"/>
    <x v="2"/>
    <x v="0"/>
    <s v="No"/>
    <s v="-"/>
    <s v="Yes"/>
    <n v="20"/>
    <n v="5"/>
    <n v="25"/>
  </r>
  <r>
    <n v="3332"/>
    <s v="Oscar Nogueira"/>
    <x v="1"/>
    <d v="2024-06-06T00:00:00"/>
    <x v="1"/>
    <x v="1"/>
    <x v="1"/>
    <s v="No"/>
    <s v="-"/>
    <s v="No"/>
    <n v="0"/>
    <n v="0"/>
    <n v="5"/>
  </r>
  <r>
    <n v="3333"/>
    <s v="Patrícia Alves"/>
    <x v="0"/>
    <d v="2024-06-07T00:00:00"/>
    <x v="0"/>
    <x v="0"/>
    <x v="2"/>
    <s v="Yes"/>
    <n v="30"/>
    <s v="Yes"/>
    <n v="20"/>
    <n v="20"/>
    <n v="45"/>
  </r>
  <r>
    <n v="3334"/>
    <s v="Rafaela Silva"/>
    <x v="2"/>
    <d v="2024-06-08T00:00:00"/>
    <x v="1"/>
    <x v="2"/>
    <x v="2"/>
    <s v="No"/>
    <s v="-"/>
    <s v="Yes"/>
    <n v="20"/>
    <n v="12"/>
    <n v="18"/>
  </r>
  <r>
    <n v="3335"/>
    <s v="Samantha Moraes"/>
    <x v="1"/>
    <d v="2024-06-09T00:00:00"/>
    <x v="0"/>
    <x v="1"/>
    <x v="0"/>
    <s v="No"/>
    <s v="-"/>
    <s v="No"/>
    <n v="0"/>
    <n v="2"/>
    <n v="3"/>
  </r>
  <r>
    <n v="3336"/>
    <s v="Tatiana Rocha"/>
    <x v="1"/>
    <d v="2024-06-10T00:00:00"/>
    <x v="0"/>
    <x v="1"/>
    <x v="0"/>
    <s v="No"/>
    <s v="-"/>
    <s v="No"/>
    <n v="0"/>
    <n v="0"/>
    <n v="5"/>
  </r>
  <r>
    <n v="3337"/>
    <s v="Ulisses Tavares"/>
    <x v="0"/>
    <d v="2024-06-11T00:00:00"/>
    <x v="1"/>
    <x v="0"/>
    <x v="2"/>
    <s v="Yes"/>
    <n v="30"/>
    <s v="Yes"/>
    <n v="20"/>
    <n v="7"/>
    <n v="58"/>
  </r>
  <r>
    <n v="3338"/>
    <s v="Víctor Lemos"/>
    <x v="2"/>
    <d v="2024-06-12T00:00:00"/>
    <x v="0"/>
    <x v="2"/>
    <x v="1"/>
    <s v="No"/>
    <s v="-"/>
    <s v="Yes"/>
    <n v="20"/>
    <n v="10"/>
    <n v="20"/>
  </r>
  <r>
    <n v="3339"/>
    <s v="Wilma Barros"/>
    <x v="1"/>
    <d v="2024-06-13T00:00:00"/>
    <x v="1"/>
    <x v="1"/>
    <x v="2"/>
    <s v="No"/>
    <s v="-"/>
    <s v="No"/>
    <n v="0"/>
    <n v="1"/>
    <n v="4"/>
  </r>
  <r>
    <n v="3340"/>
    <s v="Xavier Nascimento"/>
    <x v="0"/>
    <d v="2024-06-14T00:00:00"/>
    <x v="0"/>
    <x v="0"/>
    <x v="0"/>
    <s v="Yes"/>
    <n v="30"/>
    <s v="Yes"/>
    <n v="20"/>
    <n v="15"/>
    <n v="50"/>
  </r>
  <r>
    <n v="3341"/>
    <s v="Yago Pereira"/>
    <x v="2"/>
    <d v="2024-06-15T00:00:00"/>
    <x v="1"/>
    <x v="2"/>
    <x v="0"/>
    <s v="No"/>
    <s v="-"/>
    <s v="Yes"/>
    <n v="20"/>
    <n v="5"/>
    <n v="25"/>
  </r>
  <r>
    <n v="3342"/>
    <s v="Zilda Ferreira"/>
    <x v="1"/>
    <d v="2024-06-16T00:00:00"/>
    <x v="0"/>
    <x v="1"/>
    <x v="1"/>
    <s v="No"/>
    <s v="-"/>
    <s v="No"/>
    <n v="0"/>
    <n v="0"/>
    <n v="5"/>
  </r>
  <r>
    <n v="3343"/>
    <s v="Amanda Lopes"/>
    <x v="0"/>
    <d v="2024-06-17T00:00:00"/>
    <x v="1"/>
    <x v="0"/>
    <x v="2"/>
    <s v="Yes"/>
    <n v="30"/>
    <s v="Yes"/>
    <n v="20"/>
    <n v="20"/>
    <n v="45"/>
  </r>
  <r>
    <n v="3344"/>
    <s v="Bruno Miranda"/>
    <x v="2"/>
    <d v="2024-06-18T00:00:00"/>
    <x v="0"/>
    <x v="2"/>
    <x v="2"/>
    <s v="No"/>
    <s v="-"/>
    <s v="Yes"/>
    <n v="20"/>
    <n v="12"/>
    <n v="18"/>
  </r>
  <r>
    <n v="3345"/>
    <s v="Célia Torres"/>
    <x v="1"/>
    <d v="2024-06-19T00:00:00"/>
    <x v="1"/>
    <x v="1"/>
    <x v="0"/>
    <s v="No"/>
    <s v="-"/>
    <s v="No"/>
    <n v="0"/>
    <n v="2"/>
    <n v="3"/>
  </r>
  <r>
    <n v="3346"/>
    <s v="Diogo Souza"/>
    <x v="0"/>
    <d v="2024-06-20T00:00:00"/>
    <x v="0"/>
    <x v="0"/>
    <x v="1"/>
    <s v="Yes"/>
    <n v="30"/>
    <s v="Yes"/>
    <n v="20"/>
    <n v="5"/>
    <n v="60"/>
  </r>
  <r>
    <n v="3347"/>
    <s v="Elisa Castro"/>
    <x v="2"/>
    <d v="2024-06-21T00:00:00"/>
    <x v="1"/>
    <x v="2"/>
    <x v="0"/>
    <s v="No"/>
    <s v="-"/>
    <s v="Yes"/>
    <n v="20"/>
    <n v="10"/>
    <n v="20"/>
  </r>
  <r>
    <n v="3348"/>
    <s v="Fátima Lima"/>
    <x v="1"/>
    <d v="2024-06-22T00:00:00"/>
    <x v="0"/>
    <x v="1"/>
    <x v="2"/>
    <s v="No"/>
    <s v="-"/>
    <s v="No"/>
    <n v="0"/>
    <n v="0"/>
    <n v="5"/>
  </r>
  <r>
    <n v="3349"/>
    <s v="Geraldo Ribeiro"/>
    <x v="0"/>
    <d v="2024-06-23T00:00:00"/>
    <x v="1"/>
    <x v="0"/>
    <x v="0"/>
    <s v="Yes"/>
    <n v="30"/>
    <s v="Yes"/>
    <n v="20"/>
    <n v="3"/>
    <n v="62"/>
  </r>
  <r>
    <n v="3350"/>
    <s v="Hélio Martins"/>
    <x v="2"/>
    <d v="2024-06-24T00:00:00"/>
    <x v="0"/>
    <x v="2"/>
    <x v="1"/>
    <s v="No"/>
    <s v="-"/>
    <s v="Yes"/>
    <n v="20"/>
    <n v="15"/>
    <n v="15"/>
  </r>
  <r>
    <n v="3351"/>
    <s v="Íris Santos"/>
    <x v="1"/>
    <d v="2024-06-25T00:00:00"/>
    <x v="1"/>
    <x v="1"/>
    <x v="0"/>
    <s v="No"/>
    <s v="-"/>
    <s v="No"/>
    <n v="0"/>
    <n v="1"/>
    <n v="4"/>
  </r>
  <r>
    <n v="3352"/>
    <s v="João Marcelo"/>
    <x v="0"/>
    <d v="2024-06-26T00:00:00"/>
    <x v="0"/>
    <x v="0"/>
    <x v="2"/>
    <s v="Yes"/>
    <n v="30"/>
    <s v="Yes"/>
    <n v="20"/>
    <n v="7"/>
    <n v="58"/>
  </r>
  <r>
    <n v="3353"/>
    <s v="Larissa Gomes"/>
    <x v="2"/>
    <d v="2024-06-27T00:00:00"/>
    <x v="1"/>
    <x v="2"/>
    <x v="0"/>
    <s v="No"/>
    <s v="-"/>
    <s v="Yes"/>
    <n v="20"/>
    <n v="10"/>
    <n v="20"/>
  </r>
  <r>
    <n v="3354"/>
    <s v="Márcio Silva"/>
    <x v="1"/>
    <d v="2024-06-28T00:00:00"/>
    <x v="0"/>
    <x v="1"/>
    <x v="1"/>
    <s v="No"/>
    <s v="-"/>
    <s v="No"/>
    <n v="0"/>
    <n v="0"/>
    <n v="5"/>
  </r>
  <r>
    <n v="3355"/>
    <s v="Nadia Costa"/>
    <x v="0"/>
    <d v="2024-06-29T00:00:00"/>
    <x v="1"/>
    <x v="0"/>
    <x v="0"/>
    <s v="Yes"/>
    <n v="30"/>
    <s v="Yes"/>
    <n v="20"/>
    <n v="20"/>
    <n v="45"/>
  </r>
  <r>
    <n v="3356"/>
    <s v="Oscar Almeida"/>
    <x v="2"/>
    <d v="2024-06-30T00:00:00"/>
    <x v="0"/>
    <x v="2"/>
    <x v="2"/>
    <s v="No"/>
    <s v="-"/>
    <s v="Yes"/>
    <n v="20"/>
    <n v="15"/>
    <n v="15"/>
  </r>
  <r>
    <n v="3357"/>
    <s v="Patricia Soares"/>
    <x v="1"/>
    <d v="2024-07-01T00:00:00"/>
    <x v="1"/>
    <x v="1"/>
    <x v="0"/>
    <s v="No"/>
    <s v="-"/>
    <s v="No"/>
    <n v="0"/>
    <n v="1"/>
    <n v="4"/>
  </r>
  <r>
    <n v="3358"/>
    <s v="Quênia Barros"/>
    <x v="0"/>
    <d v="2024-07-02T00:00:00"/>
    <x v="0"/>
    <x v="0"/>
    <x v="1"/>
    <s v="Yes"/>
    <n v="30"/>
    <s v="Yes"/>
    <n v="20"/>
    <n v="3"/>
    <n v="62"/>
  </r>
  <r>
    <n v="3359"/>
    <s v="Rafael Torres"/>
    <x v="2"/>
    <d v="2024-07-03T00:00:00"/>
    <x v="1"/>
    <x v="2"/>
    <x v="0"/>
    <s v="No"/>
    <s v="-"/>
    <s v="Yes"/>
    <n v="20"/>
    <n v="10"/>
    <n v="20"/>
  </r>
  <r>
    <n v="3360"/>
    <s v="Silvia Nascimento"/>
    <x v="1"/>
    <d v="2024-07-04T00:00:00"/>
    <x v="0"/>
    <x v="1"/>
    <x v="2"/>
    <s v="No"/>
    <s v="-"/>
    <s v="No"/>
    <n v="0"/>
    <n v="0"/>
    <n v="5"/>
  </r>
  <r>
    <n v="3361"/>
    <s v="Tiago Mendes"/>
    <x v="0"/>
    <d v="2024-07-05T00:00:00"/>
    <x v="1"/>
    <x v="0"/>
    <x v="0"/>
    <s v="Yes"/>
    <n v="30"/>
    <s v="Yes"/>
    <n v="20"/>
    <n v="15"/>
    <n v="50"/>
  </r>
  <r>
    <n v="3362"/>
    <s v="Ursula Silva"/>
    <x v="2"/>
    <d v="2024-07-06T00:00:00"/>
    <x v="0"/>
    <x v="2"/>
    <x v="1"/>
    <s v="No"/>
    <s v="-"/>
    <s v="Yes"/>
    <n v="20"/>
    <n v="15"/>
    <n v="15"/>
  </r>
  <r>
    <n v="3363"/>
    <s v="Vanessa Moraes"/>
    <x v="1"/>
    <d v="2024-07-07T00:00:00"/>
    <x v="1"/>
    <x v="1"/>
    <x v="0"/>
    <s v="No"/>
    <s v="-"/>
    <s v="No"/>
    <n v="0"/>
    <n v="1"/>
    <n v="4"/>
  </r>
  <r>
    <n v="3364"/>
    <s v="Waldir Junior"/>
    <x v="0"/>
    <d v="2024-07-08T00:00:00"/>
    <x v="0"/>
    <x v="0"/>
    <x v="2"/>
    <s v="Yes"/>
    <n v="30"/>
    <s v="Yes"/>
    <n v="20"/>
    <n v="7"/>
    <n v="58"/>
  </r>
  <r>
    <n v="3365"/>
    <s v="Xavier Lopes"/>
    <x v="2"/>
    <d v="2024-07-09T00:00:00"/>
    <x v="1"/>
    <x v="2"/>
    <x v="0"/>
    <s v="No"/>
    <s v="-"/>
    <s v="Yes"/>
    <n v="20"/>
    <n v="10"/>
    <n v="20"/>
  </r>
  <r>
    <n v="3366"/>
    <s v="Yolanda Freitas"/>
    <x v="1"/>
    <d v="2024-07-10T00:00:00"/>
    <x v="0"/>
    <x v="1"/>
    <x v="0"/>
    <s v="No"/>
    <s v="-"/>
    <s v="No"/>
    <n v="0"/>
    <n v="0"/>
    <n v="5"/>
  </r>
  <r>
    <n v="3367"/>
    <s v="Zacarias Nunes"/>
    <x v="0"/>
    <d v="2024-07-11T00:00:00"/>
    <x v="1"/>
    <x v="0"/>
    <x v="2"/>
    <s v="Yes"/>
    <n v="30"/>
    <s v="Yes"/>
    <n v="20"/>
    <n v="7"/>
    <n v="58"/>
  </r>
  <r>
    <n v="3368"/>
    <s v="Ana Clara Barreto"/>
    <x v="2"/>
    <d v="2024-07-12T00:00:00"/>
    <x v="0"/>
    <x v="2"/>
    <x v="1"/>
    <s v="No"/>
    <s v="-"/>
    <s v="Yes"/>
    <n v="20"/>
    <n v="10"/>
    <n v="20"/>
  </r>
  <r>
    <n v="3369"/>
    <s v="Bruno Henrique"/>
    <x v="1"/>
    <d v="2024-07-13T00:00:00"/>
    <x v="1"/>
    <x v="1"/>
    <x v="2"/>
    <s v="No"/>
    <s v="-"/>
    <s v="No"/>
    <n v="0"/>
    <n v="1"/>
    <n v="4"/>
  </r>
  <r>
    <n v="3370"/>
    <s v="Carlos Eduardo"/>
    <x v="0"/>
    <d v="2024-07-14T00:00:00"/>
    <x v="0"/>
    <x v="0"/>
    <x v="0"/>
    <s v="Yes"/>
    <n v="30"/>
    <s v="Yes"/>
    <n v="20"/>
    <n v="15"/>
    <n v="50"/>
  </r>
  <r>
    <n v="3371"/>
    <s v="Débora Lima"/>
    <x v="2"/>
    <d v="2024-07-15T00:00:00"/>
    <x v="1"/>
    <x v="2"/>
    <x v="0"/>
    <s v="No"/>
    <s v="-"/>
    <s v="Yes"/>
    <n v="20"/>
    <n v="5"/>
    <n v="25"/>
  </r>
  <r>
    <n v="3372"/>
    <s v="Elisa Neves"/>
    <x v="1"/>
    <d v="2024-07-16T00:00:00"/>
    <x v="0"/>
    <x v="1"/>
    <x v="1"/>
    <s v="No"/>
    <s v="-"/>
    <s v="No"/>
    <n v="0"/>
    <n v="0"/>
    <n v="5"/>
  </r>
  <r>
    <n v="3373"/>
    <s v="Fabiano Gomes"/>
    <x v="0"/>
    <d v="2024-07-17T00:00:00"/>
    <x v="1"/>
    <x v="0"/>
    <x v="2"/>
    <s v="Yes"/>
    <n v="30"/>
    <s v="Yes"/>
    <n v="20"/>
    <n v="20"/>
    <n v="45"/>
  </r>
  <r>
    <n v="3374"/>
    <s v="Gisele Oliveira"/>
    <x v="2"/>
    <d v="2024-07-18T00:00:00"/>
    <x v="0"/>
    <x v="2"/>
    <x v="2"/>
    <s v="No"/>
    <s v="-"/>
    <s v="Yes"/>
    <n v="20"/>
    <n v="12"/>
    <n v="18"/>
  </r>
  <r>
    <n v="3375"/>
    <s v="Héctor Silva"/>
    <x v="1"/>
    <d v="2024-07-19T00:00:00"/>
    <x v="1"/>
    <x v="1"/>
    <x v="0"/>
    <s v="No"/>
    <s v="-"/>
    <s v="No"/>
    <n v="0"/>
    <n v="2"/>
    <n v="3"/>
  </r>
  <r>
    <n v="3376"/>
    <s v="Igor Martins"/>
    <x v="0"/>
    <d v="2024-07-20T00:00:00"/>
    <x v="0"/>
    <x v="0"/>
    <x v="1"/>
    <s v="Yes"/>
    <n v="30"/>
    <s v="Yes"/>
    <n v="20"/>
    <n v="5"/>
    <n v="60"/>
  </r>
  <r>
    <n v="3377"/>
    <s v="Joana Figueiredo"/>
    <x v="2"/>
    <d v="2024-07-21T00:00:00"/>
    <x v="1"/>
    <x v="2"/>
    <x v="0"/>
    <s v="No"/>
    <s v="-"/>
    <s v="Yes"/>
    <n v="20"/>
    <n v="10"/>
    <n v="20"/>
  </r>
  <r>
    <n v="3378"/>
    <s v="Kleber Machado"/>
    <x v="1"/>
    <d v="2024-07-22T00:00:00"/>
    <x v="0"/>
    <x v="1"/>
    <x v="2"/>
    <s v="No"/>
    <s v="-"/>
    <s v="No"/>
    <n v="0"/>
    <n v="0"/>
    <n v="5"/>
  </r>
  <r>
    <n v="3379"/>
    <s v="Luciana Santos"/>
    <x v="0"/>
    <d v="2024-07-23T00:00:00"/>
    <x v="1"/>
    <x v="0"/>
    <x v="0"/>
    <s v="Yes"/>
    <n v="30"/>
    <s v="Yes"/>
    <n v="20"/>
    <n v="3"/>
    <n v="62"/>
  </r>
  <r>
    <n v="3380"/>
    <s v="Marcos Teixeira"/>
    <x v="2"/>
    <d v="2024-07-24T00:00:00"/>
    <x v="0"/>
    <x v="2"/>
    <x v="1"/>
    <s v="No"/>
    <s v="-"/>
    <s v="Yes"/>
    <n v="20"/>
    <n v="15"/>
    <n v="15"/>
  </r>
  <r>
    <n v="3381"/>
    <s v="Natalia Costa"/>
    <x v="1"/>
    <d v="2024-07-25T00:00:00"/>
    <x v="1"/>
    <x v="1"/>
    <x v="0"/>
    <s v="No"/>
    <s v="-"/>
    <s v="No"/>
    <n v="0"/>
    <n v="1"/>
    <n v="4"/>
  </r>
  <r>
    <n v="3382"/>
    <s v="Oscar Ribeiro"/>
    <x v="0"/>
    <d v="2024-07-26T00:00:00"/>
    <x v="0"/>
    <x v="0"/>
    <x v="2"/>
    <s v="Yes"/>
    <n v="30"/>
    <s v="Yes"/>
    <n v="20"/>
    <n v="7"/>
    <n v="58"/>
  </r>
  <r>
    <n v="3383"/>
    <s v="Patricia Almeida"/>
    <x v="2"/>
    <d v="2024-07-27T00:00:00"/>
    <x v="1"/>
    <x v="2"/>
    <x v="0"/>
    <s v="No"/>
    <s v="-"/>
    <s v="Yes"/>
    <n v="20"/>
    <n v="10"/>
    <n v="20"/>
  </r>
  <r>
    <n v="3384"/>
    <s v="Quirino Junior"/>
    <x v="1"/>
    <d v="2024-07-28T00:00:00"/>
    <x v="0"/>
    <x v="1"/>
    <x v="1"/>
    <s v="No"/>
    <s v="-"/>
    <s v="No"/>
    <n v="0"/>
    <n v="0"/>
    <n v="5"/>
  </r>
  <r>
    <n v="3385"/>
    <s v="Renata Machado"/>
    <x v="0"/>
    <d v="2024-07-29T00:00:00"/>
    <x v="1"/>
    <x v="0"/>
    <x v="0"/>
    <s v="Yes"/>
    <n v="30"/>
    <s v="Yes"/>
    <n v="20"/>
    <n v="20"/>
    <n v="45"/>
  </r>
  <r>
    <n v="3386"/>
    <s v="Sônia Alves"/>
    <x v="2"/>
    <d v="2024-07-30T00:00:00"/>
    <x v="0"/>
    <x v="2"/>
    <x v="2"/>
    <s v="No"/>
    <s v="-"/>
    <s v="Yes"/>
    <n v="20"/>
    <n v="15"/>
    <n v="15"/>
  </r>
  <r>
    <n v="3387"/>
    <s v="Tiago Nunes"/>
    <x v="1"/>
    <d v="2024-07-31T00:00:00"/>
    <x v="1"/>
    <x v="1"/>
    <x v="0"/>
    <s v="No"/>
    <s v="-"/>
    <s v="No"/>
    <n v="0"/>
    <n v="1"/>
    <n v="4"/>
  </r>
  <r>
    <n v="3388"/>
    <s v="Ulysses Pereira"/>
    <x v="0"/>
    <d v="2024-08-01T00:00:00"/>
    <x v="0"/>
    <x v="0"/>
    <x v="1"/>
    <s v="Yes"/>
    <n v="30"/>
    <s v="Yes"/>
    <n v="20"/>
    <n v="3"/>
    <n v="62"/>
  </r>
  <r>
    <n v="3389"/>
    <s v="Vanessa Lima"/>
    <x v="2"/>
    <d v="2024-08-02T00:00:00"/>
    <x v="1"/>
    <x v="2"/>
    <x v="0"/>
    <s v="No"/>
    <s v="-"/>
    <s v="Yes"/>
    <n v="20"/>
    <n v="10"/>
    <n v="20"/>
  </r>
  <r>
    <n v="3390"/>
    <s v="Wagner Santos"/>
    <x v="1"/>
    <d v="2024-08-03T00:00:00"/>
    <x v="0"/>
    <x v="1"/>
    <x v="2"/>
    <s v="No"/>
    <s v="-"/>
    <s v="No"/>
    <n v="0"/>
    <n v="0"/>
    <n v="5"/>
  </r>
  <r>
    <n v="3391"/>
    <s v="Xuxa Meneghel"/>
    <x v="0"/>
    <d v="2024-08-04T00:00:00"/>
    <x v="1"/>
    <x v="0"/>
    <x v="0"/>
    <s v="Yes"/>
    <n v="30"/>
    <s v="Yes"/>
    <n v="20"/>
    <n v="15"/>
    <n v="50"/>
  </r>
  <r>
    <n v="3392"/>
    <s v="Yasmin Silva"/>
    <x v="2"/>
    <d v="2024-08-05T00:00:00"/>
    <x v="0"/>
    <x v="2"/>
    <x v="1"/>
    <s v="No"/>
    <s v="-"/>
    <s v="Yes"/>
    <n v="20"/>
    <n v="15"/>
    <n v="15"/>
  </r>
  <r>
    <n v="3393"/>
    <s v="Zacarias de Souza"/>
    <x v="1"/>
    <d v="2024-08-06T00:00:00"/>
    <x v="1"/>
    <x v="1"/>
    <x v="0"/>
    <s v="No"/>
    <s v="-"/>
    <s v="No"/>
    <n v="0"/>
    <n v="1"/>
    <n v="4"/>
  </r>
  <r>
    <n v="3394"/>
    <s v="André Lima"/>
    <x v="0"/>
    <d v="2024-08-07T00:00:00"/>
    <x v="0"/>
    <x v="0"/>
    <x v="2"/>
    <s v="Yes"/>
    <n v="30"/>
    <s v="Yes"/>
    <n v="20"/>
    <n v="7"/>
    <n v="58"/>
  </r>
  <r>
    <n v="3395"/>
    <s v="Bianca Freitas"/>
    <x v="2"/>
    <d v="2024-08-08T00:00:00"/>
    <x v="1"/>
    <x v="2"/>
    <x v="0"/>
    <s v="No"/>
    <s v="-"/>
    <s v="Yes"/>
    <n v="20"/>
    <n v="10"/>
    <n v="20"/>
  </r>
  <r>
    <n v="3396"/>
    <s v="Caio Mendes"/>
    <x v="1"/>
    <d v="2024-08-09T00:00:00"/>
    <x v="0"/>
    <x v="1"/>
    <x v="1"/>
    <s v="No"/>
    <s v="-"/>
    <s v="No"/>
    <n v="0"/>
    <n v="0"/>
    <n v="5"/>
  </r>
  <r>
    <n v="3397"/>
    <s v="Daniela Moura"/>
    <x v="0"/>
    <d v="2024-08-10T00:00:00"/>
    <x v="1"/>
    <x v="0"/>
    <x v="0"/>
    <s v="Yes"/>
    <n v="30"/>
    <s v="Yes"/>
    <n v="20"/>
    <n v="20"/>
    <n v="45"/>
  </r>
  <r>
    <n v="3398"/>
    <s v="Eduardo Costa"/>
    <x v="2"/>
    <d v="2024-08-11T00:00:00"/>
    <x v="0"/>
    <x v="2"/>
    <x v="2"/>
    <s v="No"/>
    <s v="-"/>
    <s v="Yes"/>
    <n v="20"/>
    <n v="15"/>
    <n v="15"/>
  </r>
  <r>
    <n v="3399"/>
    <s v="Fernanda Gomes"/>
    <x v="1"/>
    <d v="2024-08-12T00:00:00"/>
    <x v="1"/>
    <x v="1"/>
    <x v="0"/>
    <s v="No"/>
    <s v="-"/>
    <s v="No"/>
    <n v="0"/>
    <n v="1"/>
    <n v="4"/>
  </r>
  <r>
    <n v="3400"/>
    <s v="Guilherme Souza"/>
    <x v="0"/>
    <d v="2024-08-13T00:00:00"/>
    <x v="0"/>
    <x v="0"/>
    <x v="1"/>
    <s v="Yes"/>
    <n v="30"/>
    <s v="Yes"/>
    <n v="20"/>
    <n v="5"/>
    <n v="60"/>
  </r>
  <r>
    <n v="3401"/>
    <s v="Helena Ribeiro"/>
    <x v="2"/>
    <d v="2024-08-14T00:00:00"/>
    <x v="1"/>
    <x v="2"/>
    <x v="0"/>
    <s v="No"/>
    <s v="-"/>
    <s v="Yes"/>
    <n v="20"/>
    <n v="10"/>
    <n v="20"/>
  </r>
  <r>
    <n v="3402"/>
    <s v="Igor Santos"/>
    <x v="1"/>
    <d v="2024-08-15T00:00:00"/>
    <x v="0"/>
    <x v="1"/>
    <x v="2"/>
    <s v="No"/>
    <s v="-"/>
    <s v="No"/>
    <n v="0"/>
    <n v="0"/>
    <n v="5"/>
  </r>
  <r>
    <n v="3403"/>
    <s v="João Carvalho"/>
    <x v="0"/>
    <d v="2024-08-16T00:00:00"/>
    <x v="1"/>
    <x v="0"/>
    <x v="0"/>
    <s v="Yes"/>
    <n v="30"/>
    <s v="Yes"/>
    <n v="20"/>
    <n v="3"/>
    <n v="62"/>
  </r>
  <r>
    <n v="3404"/>
    <s v="Klara Fagundes"/>
    <x v="2"/>
    <d v="2024-08-17T00:00:00"/>
    <x v="0"/>
    <x v="2"/>
    <x v="1"/>
    <s v="No"/>
    <s v="-"/>
    <s v="Yes"/>
    <n v="20"/>
    <n v="15"/>
    <n v="15"/>
  </r>
  <r>
    <n v="3405"/>
    <s v="Lúcia Mendonça"/>
    <x v="1"/>
    <d v="2024-08-18T00:00:00"/>
    <x v="1"/>
    <x v="1"/>
    <x v="0"/>
    <s v="No"/>
    <s v="-"/>
    <s v="No"/>
    <n v="0"/>
    <n v="1"/>
    <n v="4"/>
  </r>
  <r>
    <n v="3406"/>
    <s v="Marcelo Novaes"/>
    <x v="1"/>
    <d v="2024-08-19T00:00:00"/>
    <x v="0"/>
    <x v="1"/>
    <x v="0"/>
    <s v="No"/>
    <s v="-"/>
    <s v="No"/>
    <n v="0"/>
    <n v="0"/>
    <n v="5"/>
  </r>
  <r>
    <n v="3407"/>
    <s v="Nina Pacheco"/>
    <x v="0"/>
    <d v="2024-08-20T00:00:00"/>
    <x v="1"/>
    <x v="0"/>
    <x v="2"/>
    <s v="Yes"/>
    <n v="30"/>
    <s v="Yes"/>
    <n v="20"/>
    <n v="7"/>
    <n v="58"/>
  </r>
  <r>
    <n v="3408"/>
    <s v="Olívia Rios"/>
    <x v="2"/>
    <d v="2024-08-21T00:00:00"/>
    <x v="0"/>
    <x v="2"/>
    <x v="1"/>
    <s v="No"/>
    <s v="-"/>
    <s v="Yes"/>
    <n v="20"/>
    <n v="10"/>
    <n v="20"/>
  </r>
  <r>
    <n v="3409"/>
    <s v="Paulo Quintana"/>
    <x v="1"/>
    <d v="2024-08-22T00:00:00"/>
    <x v="1"/>
    <x v="1"/>
    <x v="2"/>
    <s v="No"/>
    <s v="-"/>
    <s v="No"/>
    <n v="0"/>
    <n v="1"/>
    <n v="4"/>
  </r>
  <r>
    <n v="3410"/>
    <s v="Raquel Domingos"/>
    <x v="0"/>
    <d v="2024-08-23T00:00:00"/>
    <x v="0"/>
    <x v="0"/>
    <x v="0"/>
    <s v="Yes"/>
    <n v="30"/>
    <s v="Yes"/>
    <n v="20"/>
    <n v="15"/>
    <n v="50"/>
  </r>
  <r>
    <n v="3411"/>
    <s v="Samuel Viana"/>
    <x v="2"/>
    <d v="2024-08-24T00:00:00"/>
    <x v="1"/>
    <x v="2"/>
    <x v="0"/>
    <s v="No"/>
    <s v="-"/>
    <s v="Yes"/>
    <n v="20"/>
    <n v="5"/>
    <n v="25"/>
  </r>
  <r>
    <n v="3412"/>
    <s v="Tatiane Rocha"/>
    <x v="1"/>
    <d v="2024-08-25T00:00:00"/>
    <x v="0"/>
    <x v="1"/>
    <x v="1"/>
    <s v="No"/>
    <s v="-"/>
    <s v="No"/>
    <n v="0"/>
    <n v="0"/>
    <n v="5"/>
  </r>
  <r>
    <n v="3413"/>
    <s v="Ulysses Farias"/>
    <x v="0"/>
    <d v="2024-08-26T00:00:00"/>
    <x v="1"/>
    <x v="0"/>
    <x v="2"/>
    <s v="Yes"/>
    <n v="30"/>
    <s v="Yes"/>
    <n v="20"/>
    <n v="20"/>
    <n v="45"/>
  </r>
  <r>
    <n v="3414"/>
    <s v="Vanessa Moreira"/>
    <x v="2"/>
    <d v="2024-08-27T00:00:00"/>
    <x v="0"/>
    <x v="2"/>
    <x v="2"/>
    <s v="No"/>
    <s v="-"/>
    <s v="Yes"/>
    <n v="20"/>
    <n v="12"/>
    <n v="18"/>
  </r>
  <r>
    <n v="3415"/>
    <s v="William Carvalho"/>
    <x v="1"/>
    <d v="2024-08-28T00:00:00"/>
    <x v="1"/>
    <x v="1"/>
    <x v="0"/>
    <s v="No"/>
    <s v="-"/>
    <s v="No"/>
    <n v="0"/>
    <n v="2"/>
    <n v="3"/>
  </r>
  <r>
    <n v="3416"/>
    <s v="Ximena Barros"/>
    <x v="0"/>
    <d v="2024-08-29T00:00:00"/>
    <x v="0"/>
    <x v="0"/>
    <x v="1"/>
    <s v="Yes"/>
    <n v="30"/>
    <s v="Yes"/>
    <n v="20"/>
    <n v="5"/>
    <n v="60"/>
  </r>
  <r>
    <n v="3417"/>
    <s v="Yara Machado"/>
    <x v="2"/>
    <d v="2024-08-30T00:00:00"/>
    <x v="1"/>
    <x v="2"/>
    <x v="0"/>
    <s v="No"/>
    <s v="-"/>
    <s v="Yes"/>
    <n v="20"/>
    <n v="10"/>
    <n v="20"/>
  </r>
  <r>
    <n v="3418"/>
    <s v="Zacarias Costa"/>
    <x v="1"/>
    <d v="2024-08-31T00:00:00"/>
    <x v="0"/>
    <x v="1"/>
    <x v="2"/>
    <s v="No"/>
    <s v="-"/>
    <s v="No"/>
    <n v="0"/>
    <n v="0"/>
    <n v="5"/>
  </r>
  <r>
    <n v="3419"/>
    <s v="André Lopes"/>
    <x v="0"/>
    <d v="2024-09-01T00:00:00"/>
    <x v="1"/>
    <x v="0"/>
    <x v="0"/>
    <s v="Yes"/>
    <n v="30"/>
    <s v="Yes"/>
    <n v="20"/>
    <n v="3"/>
    <n v="62"/>
  </r>
  <r>
    <n v="3420"/>
    <s v="Beatriz Souza"/>
    <x v="2"/>
    <d v="2024-09-02T00:00:00"/>
    <x v="0"/>
    <x v="2"/>
    <x v="1"/>
    <s v="No"/>
    <s v="-"/>
    <s v="Yes"/>
    <n v="20"/>
    <n v="15"/>
    <n v="15"/>
  </r>
  <r>
    <n v="3421"/>
    <s v="Caio Pereira"/>
    <x v="1"/>
    <d v="2024-09-03T00:00:00"/>
    <x v="1"/>
    <x v="1"/>
    <x v="0"/>
    <s v="No"/>
    <s v="-"/>
    <s v="No"/>
    <n v="0"/>
    <n v="1"/>
    <n v="4"/>
  </r>
  <r>
    <n v="3422"/>
    <s v="Daniela Araújo"/>
    <x v="0"/>
    <d v="2024-09-04T00:00:00"/>
    <x v="0"/>
    <x v="0"/>
    <x v="2"/>
    <s v="Yes"/>
    <n v="30"/>
    <s v="Yes"/>
    <n v="20"/>
    <n v="7"/>
    <n v="58"/>
  </r>
  <r>
    <n v="3423"/>
    <s v="Eduardo Santos"/>
    <x v="2"/>
    <d v="2024-09-05T00:00:00"/>
    <x v="1"/>
    <x v="2"/>
    <x v="0"/>
    <s v="No"/>
    <s v="-"/>
    <s v="Yes"/>
    <n v="20"/>
    <n v="10"/>
    <n v="20"/>
  </r>
  <r>
    <n v="3424"/>
    <s v="Fernanda Lima"/>
    <x v="1"/>
    <d v="2024-09-06T00:00:00"/>
    <x v="0"/>
    <x v="1"/>
    <x v="1"/>
    <s v="No"/>
    <s v="-"/>
    <s v="No"/>
    <n v="0"/>
    <n v="0"/>
    <n v="5"/>
  </r>
  <r>
    <n v="3425"/>
    <s v="Gabriel Teixeira"/>
    <x v="0"/>
    <d v="2024-09-07T00:00:00"/>
    <x v="1"/>
    <x v="0"/>
    <x v="0"/>
    <s v="Yes"/>
    <n v="30"/>
    <s v="Yes"/>
    <n v="20"/>
    <n v="20"/>
    <n v="45"/>
  </r>
  <r>
    <n v="3426"/>
    <s v="Helena Ribeiro"/>
    <x v="2"/>
    <d v="2024-09-08T00:00:00"/>
    <x v="0"/>
    <x v="2"/>
    <x v="2"/>
    <s v="No"/>
    <s v="-"/>
    <s v="Yes"/>
    <n v="20"/>
    <n v="15"/>
    <n v="15"/>
  </r>
  <r>
    <n v="3427"/>
    <s v="Igor Mendes"/>
    <x v="1"/>
    <d v="2024-09-09T00:00:00"/>
    <x v="1"/>
    <x v="1"/>
    <x v="0"/>
    <s v="No"/>
    <s v="-"/>
    <s v="No"/>
    <n v="0"/>
    <n v="1"/>
    <n v="4"/>
  </r>
  <r>
    <n v="3428"/>
    <s v="Joana Silveira"/>
    <x v="0"/>
    <d v="2024-09-10T00:00:00"/>
    <x v="0"/>
    <x v="0"/>
    <x v="1"/>
    <s v="Yes"/>
    <n v="30"/>
    <s v="Yes"/>
    <n v="20"/>
    <n v="3"/>
    <n v="62"/>
  </r>
  <r>
    <n v="3429"/>
    <s v="Lucas Martins"/>
    <x v="2"/>
    <d v="2024-09-11T00:00:00"/>
    <x v="1"/>
    <x v="2"/>
    <x v="0"/>
    <s v="No"/>
    <s v="-"/>
    <s v="Yes"/>
    <n v="20"/>
    <n v="10"/>
    <n v="20"/>
  </r>
  <r>
    <n v="3430"/>
    <s v="Marcela Gouveia"/>
    <x v="1"/>
    <d v="2024-09-12T00:00:00"/>
    <x v="0"/>
    <x v="1"/>
    <x v="2"/>
    <s v="No"/>
    <s v="-"/>
    <s v="No"/>
    <n v="0"/>
    <n v="0"/>
    <n v="5"/>
  </r>
  <r>
    <n v="3431"/>
    <s v="Nicolas Borges"/>
    <x v="0"/>
    <d v="2024-09-13T00:00:00"/>
    <x v="1"/>
    <x v="0"/>
    <x v="0"/>
    <s v="Yes"/>
    <n v="30"/>
    <s v="Yes"/>
    <n v="20"/>
    <n v="15"/>
    <n v="50"/>
  </r>
  <r>
    <n v="3432"/>
    <s v="Olivia Freitas"/>
    <x v="2"/>
    <d v="2024-09-14T00:00:00"/>
    <x v="0"/>
    <x v="2"/>
    <x v="1"/>
    <s v="No"/>
    <s v="-"/>
    <s v="Yes"/>
    <n v="20"/>
    <n v="15"/>
    <n v="15"/>
  </r>
  <r>
    <n v="3433"/>
    <s v="Paulo Nogueira"/>
    <x v="1"/>
    <d v="2024-09-15T00:00:00"/>
    <x v="1"/>
    <x v="1"/>
    <x v="0"/>
    <s v="No"/>
    <s v="-"/>
    <s v="No"/>
    <n v="0"/>
    <n v="1"/>
    <n v="4"/>
  </r>
  <r>
    <n v="3434"/>
    <s v="Raquel Andrade"/>
    <x v="0"/>
    <d v="2024-09-16T00:00:00"/>
    <x v="0"/>
    <x v="0"/>
    <x v="2"/>
    <s v="Yes"/>
    <n v="30"/>
    <s v="Yes"/>
    <n v="20"/>
    <n v="7"/>
    <n v="58"/>
  </r>
  <r>
    <n v="3435"/>
    <s v="Sônia Carvalho"/>
    <x v="2"/>
    <d v="2024-09-17T00:00:00"/>
    <x v="1"/>
    <x v="2"/>
    <x v="0"/>
    <s v="No"/>
    <s v="-"/>
    <s v="Yes"/>
    <n v="20"/>
    <n v="10"/>
    <n v="20"/>
  </r>
  <r>
    <n v="3436"/>
    <s v="Tiago Rodrigues"/>
    <x v="1"/>
    <d v="2024-09-18T00:00:00"/>
    <x v="0"/>
    <x v="1"/>
    <x v="0"/>
    <s v="No"/>
    <s v="-"/>
    <s v="No"/>
    <n v="0"/>
    <n v="0"/>
    <n v="5"/>
  </r>
  <r>
    <n v="3437"/>
    <s v="Ursula Monteiro"/>
    <x v="0"/>
    <d v="2024-09-19T00:00:00"/>
    <x v="1"/>
    <x v="0"/>
    <x v="2"/>
    <s v="Yes"/>
    <n v="30"/>
    <s v="Yes"/>
    <n v="20"/>
    <n v="7"/>
    <n v="58"/>
  </r>
  <r>
    <n v="3438"/>
    <s v="Vanessa Pereira"/>
    <x v="2"/>
    <d v="2024-09-20T00:00:00"/>
    <x v="0"/>
    <x v="2"/>
    <x v="1"/>
    <s v="No"/>
    <s v="-"/>
    <s v="Yes"/>
    <n v="20"/>
    <n v="10"/>
    <n v="20"/>
  </r>
  <r>
    <n v="3439"/>
    <s v="Walter Silva"/>
    <x v="1"/>
    <d v="2024-09-21T00:00:00"/>
    <x v="1"/>
    <x v="1"/>
    <x v="2"/>
    <s v="No"/>
    <s v="-"/>
    <s v="No"/>
    <n v="0"/>
    <n v="1"/>
    <n v="4"/>
  </r>
  <r>
    <n v="3440"/>
    <s v="Xavier Almeida"/>
    <x v="0"/>
    <d v="2024-09-22T00:00:00"/>
    <x v="0"/>
    <x v="0"/>
    <x v="0"/>
    <s v="Yes"/>
    <n v="30"/>
    <s v="Yes"/>
    <n v="20"/>
    <n v="15"/>
    <n v="50"/>
  </r>
  <r>
    <n v="3441"/>
    <s v="Yasmine Correia"/>
    <x v="2"/>
    <d v="2024-09-23T00:00:00"/>
    <x v="1"/>
    <x v="2"/>
    <x v="0"/>
    <s v="No"/>
    <s v="-"/>
    <s v="Yes"/>
    <n v="20"/>
    <n v="5"/>
    <n v="25"/>
  </r>
  <r>
    <n v="3442"/>
    <s v="Zacarias Almeida"/>
    <x v="1"/>
    <d v="2024-09-24T00:00:00"/>
    <x v="0"/>
    <x v="1"/>
    <x v="1"/>
    <s v="No"/>
    <s v="-"/>
    <s v="No"/>
    <n v="0"/>
    <n v="0"/>
    <n v="5"/>
  </r>
  <r>
    <n v="3443"/>
    <s v="Amanda Costa"/>
    <x v="0"/>
    <d v="2024-09-25T00:00:00"/>
    <x v="1"/>
    <x v="0"/>
    <x v="2"/>
    <s v="Yes"/>
    <n v="30"/>
    <s v="Yes"/>
    <n v="20"/>
    <n v="20"/>
    <n v="45"/>
  </r>
  <r>
    <n v="3444"/>
    <s v="Bruno Ferreira"/>
    <x v="2"/>
    <d v="2024-09-26T00:00:00"/>
    <x v="0"/>
    <x v="2"/>
    <x v="2"/>
    <s v="No"/>
    <s v="-"/>
    <s v="Yes"/>
    <n v="20"/>
    <n v="12"/>
    <n v="18"/>
  </r>
  <r>
    <n v="3445"/>
    <s v="Carla Dias"/>
    <x v="1"/>
    <d v="2024-09-27T00:00:00"/>
    <x v="1"/>
    <x v="1"/>
    <x v="0"/>
    <s v="No"/>
    <s v="-"/>
    <s v="No"/>
    <n v="0"/>
    <n v="2"/>
    <n v="3"/>
  </r>
  <r>
    <n v="3446"/>
    <s v="Diogo Martins"/>
    <x v="0"/>
    <d v="2024-09-28T00:00:00"/>
    <x v="0"/>
    <x v="0"/>
    <x v="1"/>
    <s v="Yes"/>
    <n v="30"/>
    <s v="Yes"/>
    <n v="20"/>
    <n v="5"/>
    <n v="60"/>
  </r>
  <r>
    <n v="3447"/>
    <s v="Elisa Campos"/>
    <x v="2"/>
    <d v="2024-09-29T00:00:00"/>
    <x v="1"/>
    <x v="2"/>
    <x v="0"/>
    <s v="No"/>
    <s v="-"/>
    <s v="Yes"/>
    <n v="20"/>
    <n v="10"/>
    <n v="20"/>
  </r>
  <r>
    <n v="3448"/>
    <s v="Fabiana Lima"/>
    <x v="1"/>
    <d v="2024-09-30T00:00:00"/>
    <x v="0"/>
    <x v="1"/>
    <x v="2"/>
    <s v="No"/>
    <s v="-"/>
    <s v="No"/>
    <n v="0"/>
    <n v="0"/>
    <n v="5"/>
  </r>
  <r>
    <n v="3449"/>
    <s v="Gabriel Santos"/>
    <x v="0"/>
    <d v="2024-10-01T00:00:00"/>
    <x v="1"/>
    <x v="0"/>
    <x v="0"/>
    <s v="Yes"/>
    <n v="30"/>
    <s v="Yes"/>
    <n v="20"/>
    <n v="3"/>
    <n v="62"/>
  </r>
  <r>
    <n v="3450"/>
    <s v="Helena Ferreira"/>
    <x v="2"/>
    <d v="2024-10-02T00:00:00"/>
    <x v="0"/>
    <x v="2"/>
    <x v="1"/>
    <s v="No"/>
    <s v="-"/>
    <s v="Yes"/>
    <n v="20"/>
    <n v="15"/>
    <n v="15"/>
  </r>
  <r>
    <n v="3451"/>
    <s v="Ígor Nunes"/>
    <x v="1"/>
    <d v="2024-10-03T00:00:00"/>
    <x v="1"/>
    <x v="1"/>
    <x v="0"/>
    <s v="No"/>
    <s v="-"/>
    <s v="No"/>
    <n v="0"/>
    <n v="1"/>
    <n v="4"/>
  </r>
  <r>
    <n v="3452"/>
    <s v="Joana Silveira"/>
    <x v="0"/>
    <d v="2024-10-04T00:00:00"/>
    <x v="0"/>
    <x v="0"/>
    <x v="2"/>
    <s v="Yes"/>
    <n v="30"/>
    <s v="Yes"/>
    <n v="20"/>
    <n v="7"/>
    <n v="58"/>
  </r>
  <r>
    <n v="3453"/>
    <s v="Kléber Oliveira"/>
    <x v="2"/>
    <d v="2024-10-05T00:00:00"/>
    <x v="1"/>
    <x v="2"/>
    <x v="0"/>
    <s v="No"/>
    <s v="-"/>
    <s v="Yes"/>
    <n v="20"/>
    <n v="10"/>
    <n v="20"/>
  </r>
  <r>
    <n v="3454"/>
    <s v="Luciana Morais"/>
    <x v="1"/>
    <d v="2024-10-06T00:00:00"/>
    <x v="0"/>
    <x v="1"/>
    <x v="1"/>
    <s v="No"/>
    <s v="-"/>
    <s v="No"/>
    <n v="0"/>
    <n v="0"/>
    <n v="5"/>
  </r>
  <r>
    <n v="3455"/>
    <s v="Marcos Vinícius"/>
    <x v="0"/>
    <d v="2024-10-07T00:00:00"/>
    <x v="1"/>
    <x v="0"/>
    <x v="0"/>
    <s v="Yes"/>
    <n v="30"/>
    <s v="Yes"/>
    <n v="20"/>
    <n v="20"/>
    <n v="45"/>
  </r>
  <r>
    <n v="3456"/>
    <s v="Natália Barros"/>
    <x v="2"/>
    <d v="2024-10-08T00:00:00"/>
    <x v="0"/>
    <x v="2"/>
    <x v="2"/>
    <s v="No"/>
    <s v="-"/>
    <s v="Yes"/>
    <n v="20"/>
    <n v="15"/>
    <n v="15"/>
  </r>
  <r>
    <n v="3457"/>
    <s v="Oscar Sampaio"/>
    <x v="1"/>
    <d v="2024-10-09T00:00:00"/>
    <x v="1"/>
    <x v="1"/>
    <x v="0"/>
    <s v="No"/>
    <s v="-"/>
    <s v="No"/>
    <n v="0"/>
    <n v="1"/>
    <n v="4"/>
  </r>
  <r>
    <n v="3458"/>
    <s v="Patrícia Leite"/>
    <x v="0"/>
    <d v="2024-10-10T00:00:00"/>
    <x v="0"/>
    <x v="0"/>
    <x v="1"/>
    <s v="Yes"/>
    <n v="30"/>
    <s v="Yes"/>
    <n v="20"/>
    <n v="3"/>
    <n v="62"/>
  </r>
  <r>
    <n v="3459"/>
    <s v="Quênia Rocha"/>
    <x v="2"/>
    <d v="2024-10-11T00:00:00"/>
    <x v="1"/>
    <x v="2"/>
    <x v="0"/>
    <s v="No"/>
    <s v="-"/>
    <s v="Yes"/>
    <n v="20"/>
    <n v="10"/>
    <n v="20"/>
  </r>
  <r>
    <n v="3460"/>
    <s v="Rafael Torres"/>
    <x v="1"/>
    <d v="2024-10-12T00:00:00"/>
    <x v="0"/>
    <x v="1"/>
    <x v="2"/>
    <s v="No"/>
    <s v="-"/>
    <s v="No"/>
    <n v="0"/>
    <n v="0"/>
    <n v="5"/>
  </r>
  <r>
    <n v="3461"/>
    <s v="Sandra Gouveia"/>
    <x v="0"/>
    <d v="2024-10-13T00:00:00"/>
    <x v="1"/>
    <x v="0"/>
    <x v="0"/>
    <s v="Yes"/>
    <n v="30"/>
    <s v="Yes"/>
    <n v="20"/>
    <n v="15"/>
    <n v="50"/>
  </r>
  <r>
    <n v="3462"/>
    <s v="Tiago Lacerda"/>
    <x v="2"/>
    <d v="2024-10-14T00:00:00"/>
    <x v="0"/>
    <x v="2"/>
    <x v="1"/>
    <s v="No"/>
    <s v="-"/>
    <s v="Yes"/>
    <n v="20"/>
    <n v="15"/>
    <n v="15"/>
  </r>
  <r>
    <n v="3463"/>
    <s v="Ursula Fonseca"/>
    <x v="1"/>
    <d v="2024-10-15T00:00:00"/>
    <x v="1"/>
    <x v="1"/>
    <x v="0"/>
    <s v="No"/>
    <s v="-"/>
    <s v="No"/>
    <n v="0"/>
    <n v="1"/>
    <n v="4"/>
  </r>
  <r>
    <n v="3464"/>
    <s v="Vanessa Andrade"/>
    <x v="0"/>
    <d v="2024-10-16T00:00:00"/>
    <x v="0"/>
    <x v="0"/>
    <x v="2"/>
    <s v="Yes"/>
    <n v="30"/>
    <s v="Yes"/>
    <n v="20"/>
    <n v="7"/>
    <n v="58"/>
  </r>
  <r>
    <n v="3465"/>
    <s v="William Castro"/>
    <x v="2"/>
    <d v="2024-10-17T00:00:00"/>
    <x v="1"/>
    <x v="2"/>
    <x v="0"/>
    <s v="No"/>
    <s v="-"/>
    <s v="Yes"/>
    <n v="20"/>
    <n v="10"/>
    <n v="20"/>
  </r>
  <r>
    <n v="3466"/>
    <s v="Xavier Monteiro"/>
    <x v="1"/>
    <d v="2024-10-18T00:00:00"/>
    <x v="0"/>
    <x v="1"/>
    <x v="1"/>
    <s v="No"/>
    <s v="-"/>
    <s v="No"/>
    <n v="0"/>
    <n v="0"/>
    <n v="5"/>
  </r>
  <r>
    <n v="3467"/>
    <s v="Yasmin Figueira"/>
    <x v="0"/>
    <d v="2024-10-19T00:00:00"/>
    <x v="1"/>
    <x v="0"/>
    <x v="0"/>
    <s v="Yes"/>
    <n v="30"/>
    <s v="Yes"/>
    <n v="20"/>
    <n v="15"/>
    <n v="50"/>
  </r>
  <r>
    <n v="3468"/>
    <s v="Zacarias Mendonça"/>
    <x v="2"/>
    <d v="2024-10-20T00:00:00"/>
    <x v="0"/>
    <x v="2"/>
    <x v="2"/>
    <s v="No"/>
    <s v="-"/>
    <s v="Yes"/>
    <n v="20"/>
    <n v="12"/>
    <n v="18"/>
  </r>
  <r>
    <n v="3469"/>
    <s v="Amanda Menezes"/>
    <x v="1"/>
    <d v="2024-10-21T00:00:00"/>
    <x v="1"/>
    <x v="1"/>
    <x v="0"/>
    <s v="No"/>
    <s v="-"/>
    <s v="No"/>
    <n v="0"/>
    <n v="2"/>
    <n v="3"/>
  </r>
  <r>
    <n v="3470"/>
    <s v="Bruno Santos"/>
    <x v="0"/>
    <d v="2024-10-22T00:00:00"/>
    <x v="0"/>
    <x v="0"/>
    <x v="1"/>
    <s v="Yes"/>
    <n v="30"/>
    <s v="Yes"/>
    <n v="20"/>
    <n v="5"/>
    <n v="60"/>
  </r>
  <r>
    <n v="3471"/>
    <s v="Carla Ferreira"/>
    <x v="2"/>
    <d v="2024-10-23T00:00:00"/>
    <x v="1"/>
    <x v="2"/>
    <x v="0"/>
    <s v="No"/>
    <s v="-"/>
    <s v="Yes"/>
    <n v="20"/>
    <n v="10"/>
    <n v="20"/>
  </r>
  <r>
    <n v="3472"/>
    <s v="Diogo Alves"/>
    <x v="1"/>
    <d v="2024-10-24T00:00:00"/>
    <x v="0"/>
    <x v="1"/>
    <x v="2"/>
    <s v="No"/>
    <s v="-"/>
    <s v="No"/>
    <n v="0"/>
    <n v="0"/>
    <n v="5"/>
  </r>
  <r>
    <n v="3473"/>
    <s v="Elisa Neves"/>
    <x v="0"/>
    <d v="2024-10-25T00:00:00"/>
    <x v="1"/>
    <x v="0"/>
    <x v="0"/>
    <s v="Yes"/>
    <n v="30"/>
    <s v="Yes"/>
    <n v="20"/>
    <n v="3"/>
    <n v="62"/>
  </r>
  <r>
    <n v="3474"/>
    <s v="Fabiano Pires"/>
    <x v="2"/>
    <d v="2024-10-26T00:00:00"/>
    <x v="0"/>
    <x v="2"/>
    <x v="1"/>
    <s v="No"/>
    <s v="-"/>
    <s v="Yes"/>
    <n v="20"/>
    <n v="15"/>
    <n v="15"/>
  </r>
  <r>
    <n v="3475"/>
    <s v="Giovana Ribeiro"/>
    <x v="1"/>
    <d v="2024-10-27T00:00:00"/>
    <x v="1"/>
    <x v="1"/>
    <x v="0"/>
    <s v="No"/>
    <s v="-"/>
    <s v="No"/>
    <n v="0"/>
    <n v="1"/>
    <n v="4"/>
  </r>
  <r>
    <n v="3476"/>
    <s v="Hélio Costa"/>
    <x v="0"/>
    <d v="2024-10-28T00:00:00"/>
    <x v="0"/>
    <x v="0"/>
    <x v="2"/>
    <s v="Yes"/>
    <n v="30"/>
    <s v="Yes"/>
    <n v="20"/>
    <n v="7"/>
    <n v="58"/>
  </r>
  <r>
    <n v="3477"/>
    <s v="Íris Loureiro"/>
    <x v="2"/>
    <d v="2024-10-29T00:00:00"/>
    <x v="1"/>
    <x v="2"/>
    <x v="0"/>
    <s v="No"/>
    <s v="-"/>
    <s v="Yes"/>
    <n v="20"/>
    <n v="10"/>
    <n v="20"/>
  </r>
  <r>
    <n v="3478"/>
    <s v="João Pereira"/>
    <x v="1"/>
    <d v="2024-10-30T00:00:00"/>
    <x v="0"/>
    <x v="1"/>
    <x v="1"/>
    <s v="No"/>
    <s v="-"/>
    <s v="No"/>
    <n v="0"/>
    <n v="0"/>
    <n v="5"/>
  </r>
  <r>
    <n v="3479"/>
    <s v="Klara Silva"/>
    <x v="0"/>
    <d v="2024-10-31T00:00:00"/>
    <x v="1"/>
    <x v="0"/>
    <x v="0"/>
    <s v="Yes"/>
    <n v="30"/>
    <s v="Yes"/>
    <n v="20"/>
    <n v="20"/>
    <n v="45"/>
  </r>
  <r>
    <n v="3480"/>
    <s v="Luciana Barros"/>
    <x v="2"/>
    <d v="2024-11-01T00:00:00"/>
    <x v="0"/>
    <x v="2"/>
    <x v="2"/>
    <s v="No"/>
    <s v="-"/>
    <s v="Yes"/>
    <n v="20"/>
    <n v="15"/>
    <n v="15"/>
  </r>
  <r>
    <n v="3481"/>
    <s v="Marcos Gomes"/>
    <x v="1"/>
    <d v="2024-11-02T00:00:00"/>
    <x v="1"/>
    <x v="1"/>
    <x v="0"/>
    <s v="No"/>
    <s v="-"/>
    <s v="No"/>
    <n v="0"/>
    <n v="1"/>
    <n v="4"/>
  </r>
  <r>
    <n v="3482"/>
    <s v="Natália Soares"/>
    <x v="0"/>
    <d v="2024-11-03T00:00:00"/>
    <x v="0"/>
    <x v="0"/>
    <x v="1"/>
    <s v="Yes"/>
    <n v="30"/>
    <s v="Yes"/>
    <n v="20"/>
    <n v="3"/>
    <n v="62"/>
  </r>
  <r>
    <n v="3483"/>
    <s v="Oscar Machado"/>
    <x v="2"/>
    <d v="2024-11-04T00:00:00"/>
    <x v="1"/>
    <x v="2"/>
    <x v="0"/>
    <s v="No"/>
    <s v="-"/>
    <s v="Yes"/>
    <n v="20"/>
    <n v="10"/>
    <n v="20"/>
  </r>
  <r>
    <n v="3484"/>
    <s v="Patrícia Lima"/>
    <x v="1"/>
    <d v="2024-11-05T00:00:00"/>
    <x v="0"/>
    <x v="1"/>
    <x v="2"/>
    <s v="No"/>
    <s v="-"/>
    <s v="No"/>
    <n v="0"/>
    <n v="0"/>
    <n v="5"/>
  </r>
  <r>
    <n v="3485"/>
    <s v="Quirino Neto"/>
    <x v="0"/>
    <d v="2024-11-06T00:00:00"/>
    <x v="1"/>
    <x v="0"/>
    <x v="0"/>
    <s v="Yes"/>
    <n v="30"/>
    <s v="Yes"/>
    <n v="20"/>
    <n v="15"/>
    <n v="50"/>
  </r>
  <r>
    <n v="3486"/>
    <s v="Rafaela Souza"/>
    <x v="1"/>
    <d v="2024-11-07T00:00:00"/>
    <x v="0"/>
    <x v="1"/>
    <x v="0"/>
    <s v="No"/>
    <s v="-"/>
    <s v="No"/>
    <n v="0"/>
    <n v="0"/>
    <n v="5"/>
  </r>
  <r>
    <n v="3487"/>
    <s v="Sandro Almeida"/>
    <x v="0"/>
    <d v="2024-11-08T00:00:00"/>
    <x v="1"/>
    <x v="0"/>
    <x v="2"/>
    <s v="Yes"/>
    <n v="30"/>
    <s v="Yes"/>
    <n v="20"/>
    <n v="7"/>
    <n v="58"/>
  </r>
  <r>
    <n v="3488"/>
    <s v="Tânia Ribeiro"/>
    <x v="2"/>
    <d v="2024-11-09T00:00:00"/>
    <x v="0"/>
    <x v="2"/>
    <x v="1"/>
    <s v="No"/>
    <s v="-"/>
    <s v="Yes"/>
    <n v="20"/>
    <n v="10"/>
    <n v="20"/>
  </r>
  <r>
    <n v="3489"/>
    <s v="Ugo Dias"/>
    <x v="1"/>
    <d v="2024-11-10T00:00:00"/>
    <x v="1"/>
    <x v="1"/>
    <x v="2"/>
    <s v="No"/>
    <s v="-"/>
    <s v="No"/>
    <n v="0"/>
    <n v="1"/>
    <n v="4"/>
  </r>
  <r>
    <n v="3490"/>
    <s v="Valéria Lima"/>
    <x v="0"/>
    <d v="2024-11-11T00:00:00"/>
    <x v="0"/>
    <x v="0"/>
    <x v="0"/>
    <s v="Yes"/>
    <n v="30"/>
    <s v="Yes"/>
    <n v="20"/>
    <n v="15"/>
    <n v="50"/>
  </r>
  <r>
    <n v="3491"/>
    <s v="William Fernandes"/>
    <x v="2"/>
    <d v="2024-11-12T00:00:00"/>
    <x v="1"/>
    <x v="2"/>
    <x v="0"/>
    <s v="No"/>
    <s v="-"/>
    <s v="Yes"/>
    <n v="20"/>
    <n v="5"/>
    <n v="25"/>
  </r>
  <r>
    <n v="3492"/>
    <s v="Xuxa Mendes"/>
    <x v="1"/>
    <d v="2024-11-13T00:00:00"/>
    <x v="0"/>
    <x v="1"/>
    <x v="1"/>
    <s v="No"/>
    <s v="-"/>
    <s v="No"/>
    <n v="0"/>
    <n v="0"/>
    <n v="5"/>
  </r>
  <r>
    <n v="3493"/>
    <s v="Ygor Farias"/>
    <x v="0"/>
    <d v="2024-11-14T00:00:00"/>
    <x v="1"/>
    <x v="0"/>
    <x v="2"/>
    <s v="Yes"/>
    <n v="30"/>
    <s v="Yes"/>
    <n v="20"/>
    <n v="20"/>
    <n v="45"/>
  </r>
  <r>
    <n v="3494"/>
    <s v="Zilda Barros"/>
    <x v="2"/>
    <d v="2024-11-15T00:00:00"/>
    <x v="0"/>
    <x v="2"/>
    <x v="2"/>
    <s v="No"/>
    <s v="-"/>
    <s v="Yes"/>
    <n v="20"/>
    <n v="12"/>
    <n v="18"/>
  </r>
  <r>
    <n v="3495"/>
    <s v="Amanda Santos"/>
    <x v="1"/>
    <d v="2024-11-16T00:00:00"/>
    <x v="1"/>
    <x v="1"/>
    <x v="0"/>
    <s v="No"/>
    <s v="-"/>
    <s v="No"/>
    <n v="0"/>
    <n v="2"/>
    <n v="3"/>
  </r>
  <r>
    <n v="3496"/>
    <s v="Bruno Costa"/>
    <x v="0"/>
    <d v="2024-11-17T00:00:00"/>
    <x v="0"/>
    <x v="0"/>
    <x v="1"/>
    <s v="Yes"/>
    <n v="30"/>
    <s v="Yes"/>
    <n v="20"/>
    <n v="5"/>
    <n v="60"/>
  </r>
  <r>
    <n v="3497"/>
    <s v="Carla Rodrigues"/>
    <x v="2"/>
    <d v="2024-11-18T00:00:00"/>
    <x v="1"/>
    <x v="2"/>
    <x v="0"/>
    <s v="No"/>
    <s v="-"/>
    <s v="Yes"/>
    <n v="20"/>
    <n v="10"/>
    <n v="20"/>
  </r>
  <r>
    <n v="3498"/>
    <s v="Diogo Pereira"/>
    <x v="1"/>
    <d v="2024-11-19T00:00:00"/>
    <x v="0"/>
    <x v="1"/>
    <x v="2"/>
    <s v="No"/>
    <s v="-"/>
    <s v="No"/>
    <n v="0"/>
    <n v="0"/>
    <n v="5"/>
  </r>
  <r>
    <n v="3499"/>
    <s v="Elisa Correia"/>
    <x v="0"/>
    <d v="2024-11-20T00:00:00"/>
    <x v="1"/>
    <x v="0"/>
    <x v="0"/>
    <s v="Yes"/>
    <n v="30"/>
    <s v="Yes"/>
    <n v="20"/>
    <n v="3"/>
    <n v="62"/>
  </r>
  <r>
    <n v="3500"/>
    <s v="Fábio Lourenço"/>
    <x v="2"/>
    <d v="2024-11-21T00:00:00"/>
    <x v="0"/>
    <x v="2"/>
    <x v="1"/>
    <s v="No"/>
    <s v="-"/>
    <s v="Yes"/>
    <n v="20"/>
    <n v="15"/>
    <n v="15"/>
  </r>
  <r>
    <n v="3501"/>
    <s v="Gabriela Neves"/>
    <x v="1"/>
    <d v="2024-11-22T00:00:00"/>
    <x v="1"/>
    <x v="1"/>
    <x v="0"/>
    <s v="No"/>
    <s v="-"/>
    <s v="No"/>
    <n v="0"/>
    <n v="1"/>
    <n v="4"/>
  </r>
  <r>
    <n v="3502"/>
    <s v="Henrique Gonçalves"/>
    <x v="0"/>
    <d v="2024-11-23T00:00:00"/>
    <x v="0"/>
    <x v="0"/>
    <x v="2"/>
    <s v="Yes"/>
    <n v="30"/>
    <s v="Yes"/>
    <n v="20"/>
    <n v="7"/>
    <n v="58"/>
  </r>
  <r>
    <n v="3503"/>
    <s v="Íris Santos"/>
    <x v="2"/>
    <d v="2024-11-24T00:00:00"/>
    <x v="1"/>
    <x v="2"/>
    <x v="0"/>
    <s v="No"/>
    <s v="-"/>
    <s v="Yes"/>
    <n v="20"/>
    <n v="10"/>
    <n v="20"/>
  </r>
  <r>
    <n v="3504"/>
    <s v="João Marcelo Alves"/>
    <x v="1"/>
    <d v="2024-11-25T00:00:00"/>
    <x v="0"/>
    <x v="1"/>
    <x v="1"/>
    <s v="No"/>
    <s v="-"/>
    <s v="No"/>
    <n v="0"/>
    <n v="0"/>
    <n v="5"/>
  </r>
  <r>
    <n v="3505"/>
    <s v="Klara Fonseca"/>
    <x v="0"/>
    <d v="2024-11-26T00:00:00"/>
    <x v="1"/>
    <x v="0"/>
    <x v="0"/>
    <s v="Yes"/>
    <n v="30"/>
    <s v="Yes"/>
    <n v="20"/>
    <n v="20"/>
    <n v="45"/>
  </r>
  <r>
    <n v="3506"/>
    <s v="Lucas Mendonça"/>
    <x v="2"/>
    <d v="2024-11-27T00:00:00"/>
    <x v="0"/>
    <x v="2"/>
    <x v="2"/>
    <s v="No"/>
    <s v="-"/>
    <s v="Yes"/>
    <n v="20"/>
    <n v="15"/>
    <n v="15"/>
  </r>
  <r>
    <n v="3507"/>
    <s v="Marcela Torres"/>
    <x v="1"/>
    <d v="2024-11-28T00:00:00"/>
    <x v="1"/>
    <x v="1"/>
    <x v="0"/>
    <s v="No"/>
    <s v="-"/>
    <s v="No"/>
    <n v="0"/>
    <n v="1"/>
    <n v="4"/>
  </r>
  <r>
    <n v="3508"/>
    <s v="Natália Castro"/>
    <x v="0"/>
    <d v="2024-11-29T00:00:00"/>
    <x v="0"/>
    <x v="0"/>
    <x v="1"/>
    <s v="Yes"/>
    <n v="30"/>
    <s v="Yes"/>
    <n v="20"/>
    <n v="3"/>
    <n v="62"/>
  </r>
  <r>
    <n v="3509"/>
    <s v="Oscar Martins"/>
    <x v="2"/>
    <d v="2024-11-30T00:00:00"/>
    <x v="1"/>
    <x v="2"/>
    <x v="0"/>
    <s v="No"/>
    <s v="-"/>
    <s v="Yes"/>
    <n v="20"/>
    <n v="10"/>
    <n v="20"/>
  </r>
  <r>
    <n v="3510"/>
    <s v="Patrícia Oliveira"/>
    <x v="1"/>
    <d v="2024-12-01T00:00:00"/>
    <x v="0"/>
    <x v="1"/>
    <x v="2"/>
    <s v="No"/>
    <s v="-"/>
    <s v="No"/>
    <n v="0"/>
    <n v="0"/>
    <n v="5"/>
  </r>
  <r>
    <n v="3511"/>
    <s v="Quentin Nogueira"/>
    <x v="0"/>
    <d v="2024-12-02T00:00:00"/>
    <x v="1"/>
    <x v="0"/>
    <x v="0"/>
    <s v="Yes"/>
    <n v="30"/>
    <s v="Yes"/>
    <n v="20"/>
    <n v="15"/>
    <n v="50"/>
  </r>
  <r>
    <n v="3512"/>
    <s v="Raquel Silva"/>
    <x v="2"/>
    <d v="2024-12-03T00:00:00"/>
    <x v="0"/>
    <x v="2"/>
    <x v="1"/>
    <s v="No"/>
    <s v="-"/>
    <s v="Yes"/>
    <n v="20"/>
    <n v="15"/>
    <n v="15"/>
  </r>
  <r>
    <n v="3513"/>
    <s v="Sandro Gomes"/>
    <x v="1"/>
    <d v="2024-12-04T00:00:00"/>
    <x v="1"/>
    <x v="1"/>
    <x v="0"/>
    <s v="No"/>
    <s v="-"/>
    <s v="No"/>
    <n v="0"/>
    <n v="1"/>
    <n v="4"/>
  </r>
  <r>
    <n v="3514"/>
    <s v="Tânia Machado"/>
    <x v="0"/>
    <d v="2024-12-05T00:00:00"/>
    <x v="0"/>
    <x v="0"/>
    <x v="2"/>
    <s v="Yes"/>
    <n v="30"/>
    <s v="Yes"/>
    <n v="20"/>
    <n v="7"/>
    <n v="58"/>
  </r>
  <r>
    <n v="3515"/>
    <s v="Ursula Silva"/>
    <x v="2"/>
    <d v="2024-12-06T00:00:00"/>
    <x v="1"/>
    <x v="2"/>
    <x v="0"/>
    <s v="No"/>
    <s v="-"/>
    <s v="Yes"/>
    <n v="20"/>
    <n v="10"/>
    <n v="20"/>
  </r>
  <r>
    <n v="3516"/>
    <s v="Vanessa Moraes"/>
    <x v="1"/>
    <d v="2024-12-07T00:00:00"/>
    <x v="0"/>
    <x v="1"/>
    <x v="1"/>
    <s v="No"/>
    <s v="-"/>
    <s v="No"/>
    <n v="0"/>
    <n v="0"/>
    <n v="5"/>
  </r>
  <r>
    <n v="3517"/>
    <s v="William Carvalho"/>
    <x v="0"/>
    <d v="2024-12-08T00:00:00"/>
    <x v="1"/>
    <x v="0"/>
    <x v="0"/>
    <s v="Yes"/>
    <n v="30"/>
    <s v="Yes"/>
    <n v="20"/>
    <n v="20"/>
    <n v="45"/>
  </r>
  <r>
    <n v="3518"/>
    <s v="Xavier Reis"/>
    <x v="2"/>
    <d v="2024-12-09T00:00:00"/>
    <x v="0"/>
    <x v="2"/>
    <x v="2"/>
    <s v="No"/>
    <s v="-"/>
    <s v="Yes"/>
    <n v="20"/>
    <n v="12"/>
    <n v="18"/>
  </r>
  <r>
    <n v="3519"/>
    <s v="Yasmin Rocha"/>
    <x v="1"/>
    <d v="2024-12-10T00:00:00"/>
    <x v="1"/>
    <x v="1"/>
    <x v="0"/>
    <s v="No"/>
    <s v="-"/>
    <s v="No"/>
    <n v="0"/>
    <n v="2"/>
    <n v="3"/>
  </r>
  <r>
    <n v="3520"/>
    <s v="Zacarias Duarte"/>
    <x v="0"/>
    <d v="2024-12-11T00:00:00"/>
    <x v="0"/>
    <x v="0"/>
    <x v="1"/>
    <s v="Yes"/>
    <n v="30"/>
    <s v="Yes"/>
    <n v="20"/>
    <n v="5"/>
    <n v="60"/>
  </r>
  <r>
    <n v="3521"/>
    <s v="Amanda Freitas"/>
    <x v="2"/>
    <d v="2024-12-12T00:00:00"/>
    <x v="1"/>
    <x v="2"/>
    <x v="0"/>
    <s v="No"/>
    <s v="-"/>
    <s v="Yes"/>
    <n v="20"/>
    <n v="10"/>
    <n v="20"/>
  </r>
  <r>
    <n v="3522"/>
    <s v="Bruno Almeida"/>
    <x v="1"/>
    <d v="2024-12-13T00:00:00"/>
    <x v="0"/>
    <x v="1"/>
    <x v="2"/>
    <s v="No"/>
    <s v="-"/>
    <s v="No"/>
    <n v="0"/>
    <n v="0"/>
    <n v="5"/>
  </r>
  <r>
    <n v="3523"/>
    <s v="Carla Siqueira"/>
    <x v="0"/>
    <d v="2024-12-14T00:00:00"/>
    <x v="1"/>
    <x v="0"/>
    <x v="0"/>
    <s v="Yes"/>
    <n v="3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541F6-34DA-4FC6-BBFD-5FDDE178379E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7:C2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1E2CE-B094-4981-84AA-8813DDB03CEC}" name="tbl_clientes_plano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B7:C11" firstHeaderRow="1" firstDataRow="1" firstDataCol="1" rowPageCount="1" colPageCount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2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1EFD5-3837-43C9-85A4-3885775E4543}" name="Tabela dinâmica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7:H1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Média de Total Value" fld="12" subtotal="average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87BEB-4C8E-4AD5-9B92-94D3C3694B6E}" name="Tabela dinâ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E7:F1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1D4B-46ED-4495-A5B6-14482E02E594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7:G2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F43B4B3-4C98-4069-A826-49AD0C8A72E6}" sourceName="Subscription Type">
  <pivotTables>
    <pivotTable tabId="3" name="tbl_clientes_plano"/>
    <pivotTable tabId="3" name="Tabela dinâmica5"/>
    <pivotTable tabId="3" name="Tabela dinâmica6"/>
    <pivotTable tabId="3" name="Tabela dinâmica7"/>
    <pivotTable tabId="3" name="Tabela dinâmica8"/>
  </pivotTables>
  <data>
    <tabular pivotCacheId="197140250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0534EBD-F073-48C1-83BE-357E236ADA96}" sourceName="Plan">
  <pivotTables>
    <pivotTable tabId="3" name="tbl_clientes_plano"/>
    <pivotTable tabId="3" name="Tabela dinâmica6"/>
    <pivotTable tabId="3" name="Tabela dinâmica5"/>
    <pivotTable tabId="3" name="Tabela dinâmica7"/>
    <pivotTable tabId="3" name="Tabela dinâmica8"/>
  </pivotTables>
  <data>
    <tabular pivotCacheId="1971402501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5EF8CDCF-DBCB-4F8B-BC7A-E21133688CAD}" sourceName="Auto Renewal">
  <pivotTables>
    <pivotTable tabId="3" name="tbl_clientes_plano"/>
    <pivotTable tabId="3" name="Tabela dinâmica6"/>
    <pivotTable tabId="3" name="Tabela dinâmica5"/>
    <pivotTable tabId="3" name="Tabela dinâmica7"/>
    <pivotTable tabId="3" name="Tabela dinâmica8"/>
  </pivotTables>
  <data>
    <tabular pivotCacheId="197140250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FCD3C-3F9C-4A05-8982-97AA6B606742}" cache="SegmentaçãodeDados_Subscription_Type" caption="Subscription Type" style="SlicerStyleLight6 2" rowHeight="257175"/>
  <slicer name="Plan" xr10:uid="{941D2E71-2E99-4EE2-B754-A87679E29C97}" cache="SegmentaçãodeDados_Plan" caption="Plan" style="SlicerStyleLight6 2" rowHeight="257175"/>
  <slicer name="Auto Renewal" xr10:uid="{87EF98E7-790B-4FAB-B515-1EEFEEC64850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4">
    <sortCondition ref="C1:C296"/>
  </sortState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E8" sqref="E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294" zoomScale="90" zoomScaleNormal="90" workbookViewId="0">
      <selection activeCell="E8" sqref="E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K23"/>
  <sheetViews>
    <sheetView showGridLines="0" workbookViewId="0">
      <selection activeCell="E8" sqref="E8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17.5703125" bestFit="1" customWidth="1"/>
    <col min="5" max="5" width="22.85546875" customWidth="1"/>
    <col min="6" max="6" width="18.42578125" bestFit="1" customWidth="1"/>
    <col min="7" max="7" width="35.140625" bestFit="1" customWidth="1"/>
    <col min="8" max="8" width="28.285156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11" x14ac:dyDescent="0.25">
      <c r="B3" t="s">
        <v>314</v>
      </c>
    </row>
    <row r="4" spans="2:11" x14ac:dyDescent="0.25">
      <c r="C4" t="s">
        <v>327</v>
      </c>
      <c r="K4" t="s">
        <v>326</v>
      </c>
    </row>
    <row r="5" spans="2:11" x14ac:dyDescent="0.25">
      <c r="B5" s="14" t="s">
        <v>17</v>
      </c>
      <c r="C5" t="s">
        <v>319</v>
      </c>
      <c r="E5" s="14" t="s">
        <v>17</v>
      </c>
      <c r="F5" t="s">
        <v>319</v>
      </c>
      <c r="G5" s="14" t="s">
        <v>17</v>
      </c>
      <c r="H5" t="s">
        <v>319</v>
      </c>
    </row>
    <row r="7" spans="2:11" x14ac:dyDescent="0.25">
      <c r="B7" s="14" t="s">
        <v>316</v>
      </c>
      <c r="C7" t="s">
        <v>320</v>
      </c>
      <c r="E7" s="14" t="s">
        <v>316</v>
      </c>
      <c r="F7" t="s">
        <v>318</v>
      </c>
      <c r="G7" s="14" t="s">
        <v>316</v>
      </c>
      <c r="H7" t="s">
        <v>328</v>
      </c>
      <c r="J7">
        <f>GETPIVOTDATA("Subscriber ID",$B$7)</f>
        <v>293</v>
      </c>
    </row>
    <row r="8" spans="2:11" x14ac:dyDescent="0.25">
      <c r="B8" s="15" t="s">
        <v>29</v>
      </c>
      <c r="C8">
        <v>100</v>
      </c>
      <c r="E8" s="15" t="s">
        <v>29</v>
      </c>
      <c r="F8" s="16">
        <v>440</v>
      </c>
      <c r="G8" s="15" t="s">
        <v>29</v>
      </c>
      <c r="H8" s="16">
        <v>4.4000000000000004</v>
      </c>
      <c r="J8" s="20">
        <f>GETPIVOTDATA("Total Value",$E$7)</f>
        <v>7614</v>
      </c>
    </row>
    <row r="9" spans="2:11" x14ac:dyDescent="0.25">
      <c r="B9" s="15" t="s">
        <v>34</v>
      </c>
      <c r="C9">
        <v>95</v>
      </c>
      <c r="E9" s="15" t="s">
        <v>34</v>
      </c>
      <c r="F9" s="16">
        <v>1786</v>
      </c>
      <c r="G9" s="15" t="s">
        <v>34</v>
      </c>
      <c r="H9" s="16">
        <v>18.8</v>
      </c>
      <c r="J9" s="20">
        <f>GETPIVOTDATA("Total Value",$G$7)</f>
        <v>25.986348122866893</v>
      </c>
    </row>
    <row r="10" spans="2:11" x14ac:dyDescent="0.25">
      <c r="B10" s="15" t="s">
        <v>25</v>
      </c>
      <c r="C10">
        <v>98</v>
      </c>
      <c r="E10" s="15" t="s">
        <v>25</v>
      </c>
      <c r="F10" s="16">
        <v>5388</v>
      </c>
      <c r="G10" s="15" t="s">
        <v>25</v>
      </c>
      <c r="H10" s="16">
        <v>54.979591836734691</v>
      </c>
    </row>
    <row r="11" spans="2:11" x14ac:dyDescent="0.25">
      <c r="B11" s="15" t="s">
        <v>317</v>
      </c>
      <c r="C11">
        <v>293</v>
      </c>
      <c r="E11" s="15" t="s">
        <v>317</v>
      </c>
      <c r="F11" s="16">
        <v>7614</v>
      </c>
      <c r="G11" s="15" t="s">
        <v>317</v>
      </c>
      <c r="H11" s="16">
        <v>25.986348122866893</v>
      </c>
    </row>
    <row r="13" spans="2:11" x14ac:dyDescent="0.25">
      <c r="B13" t="s">
        <v>315</v>
      </c>
    </row>
    <row r="14" spans="2:11" x14ac:dyDescent="0.25">
      <c r="B14" s="15" t="s">
        <v>323</v>
      </c>
      <c r="F14" t="s">
        <v>324</v>
      </c>
    </row>
    <row r="15" spans="2:11" x14ac:dyDescent="0.25">
      <c r="B15" s="14" t="s">
        <v>17</v>
      </c>
      <c r="C15" t="s">
        <v>319</v>
      </c>
      <c r="F15" s="14" t="s">
        <v>17</v>
      </c>
      <c r="G15" t="s">
        <v>319</v>
      </c>
    </row>
    <row r="17" spans="2:8" x14ac:dyDescent="0.25">
      <c r="B17" s="14" t="s">
        <v>316</v>
      </c>
      <c r="C17" t="s">
        <v>322</v>
      </c>
      <c r="F17" s="14" t="s">
        <v>316</v>
      </c>
      <c r="G17" t="s">
        <v>325</v>
      </c>
    </row>
    <row r="18" spans="2:8" x14ac:dyDescent="0.25">
      <c r="B18" s="15" t="s">
        <v>29</v>
      </c>
      <c r="C18">
        <v>0</v>
      </c>
      <c r="F18" s="15" t="s">
        <v>29</v>
      </c>
      <c r="G18" s="16">
        <v>0</v>
      </c>
    </row>
    <row r="19" spans="2:8" x14ac:dyDescent="0.25">
      <c r="B19" s="15" t="s">
        <v>34</v>
      </c>
      <c r="C19">
        <v>0</v>
      </c>
      <c r="F19" s="15" t="s">
        <v>34</v>
      </c>
      <c r="G19" s="16">
        <v>1900</v>
      </c>
    </row>
    <row r="20" spans="2:8" x14ac:dyDescent="0.25">
      <c r="B20" s="15" t="s">
        <v>25</v>
      </c>
      <c r="C20">
        <v>2940</v>
      </c>
      <c r="F20" s="15" t="s">
        <v>25</v>
      </c>
      <c r="G20" s="16">
        <v>1960</v>
      </c>
    </row>
    <row r="21" spans="2:8" x14ac:dyDescent="0.25">
      <c r="B21" s="15" t="s">
        <v>317</v>
      </c>
      <c r="C21">
        <v>2940</v>
      </c>
      <c r="F21" s="15" t="s">
        <v>317</v>
      </c>
      <c r="G21" s="16">
        <v>3860</v>
      </c>
    </row>
    <row r="23" spans="2:8" x14ac:dyDescent="0.25">
      <c r="D23" s="20">
        <f>GETPIVOTDATA("Soma de EA Play Season Pass",$B$17)</f>
        <v>2940</v>
      </c>
      <c r="H23" s="20">
        <f>GETPIVOTDATA("Soma de Minecraft Season Pass Price",$F$17)</f>
        <v>3860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72"/>
  <sheetViews>
    <sheetView showGridLines="0" showRowColHeaders="0" tabSelected="1" zoomScale="80" zoomScaleNormal="80" workbookViewId="0">
      <selection activeCell="X17" sqref="X17"/>
    </sheetView>
  </sheetViews>
  <sheetFormatPr defaultRowHeight="15" x14ac:dyDescent="0.25"/>
  <cols>
    <col min="1" max="1" width="23.28515625" style="4" customWidth="1"/>
    <col min="2" max="2" width="3.5703125" style="17" customWidth="1"/>
    <col min="3" max="3" width="7.7109375" customWidth="1"/>
    <col min="12" max="12" width="6.5703125" customWidth="1"/>
  </cols>
  <sheetData>
    <row r="2" spans="1:17" ht="39" customHeight="1" thickBot="1" x14ac:dyDescent="0.35">
      <c r="D2" s="12" t="s">
        <v>313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20.25" customHeight="1" thickTop="1" x14ac:dyDescent="0.25">
      <c r="D3" s="21" t="s">
        <v>321</v>
      </c>
    </row>
    <row r="4" spans="1:17" ht="20.25" customHeight="1" x14ac:dyDescent="0.25">
      <c r="D4" s="23" t="s">
        <v>330</v>
      </c>
    </row>
    <row r="5" spans="1:17" s="4" customFormat="1" ht="8.25" customHeight="1" x14ac:dyDescent="0.25">
      <c r="B5" s="18"/>
    </row>
    <row r="6" spans="1:17" s="4" customFormat="1" ht="16.5" customHeight="1" x14ac:dyDescent="0.25">
      <c r="A6" s="22" t="s">
        <v>329</v>
      </c>
      <c r="B6" s="18"/>
    </row>
    <row r="7" spans="1:17" s="4" customFormat="1" ht="10.5" customHeight="1" x14ac:dyDescent="0.25">
      <c r="B7" s="18"/>
    </row>
    <row r="8" spans="1:17" s="4" customFormat="1" ht="9.75" customHeight="1" x14ac:dyDescent="0.25">
      <c r="B8" s="18"/>
    </row>
    <row r="9" spans="1:17" s="4" customFormat="1" ht="33" customHeight="1" x14ac:dyDescent="0.25">
      <c r="B9" s="18"/>
    </row>
    <row r="10" spans="1:17" s="4" customFormat="1" x14ac:dyDescent="0.25">
      <c r="B10" s="18"/>
    </row>
    <row r="11" spans="1:17" s="4" customFormat="1" x14ac:dyDescent="0.25">
      <c r="B11" s="18"/>
    </row>
    <row r="12" spans="1:17" s="4" customFormat="1" x14ac:dyDescent="0.25">
      <c r="B12" s="18"/>
    </row>
    <row r="13" spans="1:17" s="7" customFormat="1" x14ac:dyDescent="0.25">
      <c r="A13" s="4"/>
      <c r="B13" s="19"/>
    </row>
    <row r="14" spans="1:17" s="7" customFormat="1" x14ac:dyDescent="0.25">
      <c r="A14" s="4"/>
      <c r="B14" s="19"/>
    </row>
    <row r="15" spans="1:17" s="7" customFormat="1" x14ac:dyDescent="0.25">
      <c r="A15" s="4"/>
      <c r="B15" s="19"/>
    </row>
    <row r="16" spans="1:17" s="7" customFormat="1" x14ac:dyDescent="0.25">
      <c r="A16" s="4"/>
      <c r="B16" s="19"/>
    </row>
    <row r="17" spans="1:24" s="7" customFormat="1" x14ac:dyDescent="0.25">
      <c r="A17" s="4"/>
      <c r="B17" s="19"/>
      <c r="X17" s="24"/>
    </row>
    <row r="18" spans="1:24" s="7" customFormat="1" x14ac:dyDescent="0.25">
      <c r="A18" s="4"/>
      <c r="B18" s="19"/>
    </row>
    <row r="19" spans="1:24" s="7" customFormat="1" x14ac:dyDescent="0.25">
      <c r="A19" s="4"/>
      <c r="B19" s="19"/>
    </row>
    <row r="20" spans="1:24" s="7" customFormat="1" x14ac:dyDescent="0.25">
      <c r="A20" s="4"/>
      <c r="B20" s="19"/>
    </row>
    <row r="21" spans="1:24" s="7" customFormat="1" x14ac:dyDescent="0.25">
      <c r="A21" s="4"/>
      <c r="B21" s="19"/>
    </row>
    <row r="22" spans="1:24" s="7" customFormat="1" x14ac:dyDescent="0.25">
      <c r="A22" s="4"/>
      <c r="B22" s="19"/>
    </row>
    <row r="23" spans="1:24" s="7" customFormat="1" x14ac:dyDescent="0.25">
      <c r="A23" s="4"/>
      <c r="B23" s="19"/>
    </row>
    <row r="24" spans="1:24" s="7" customFormat="1" x14ac:dyDescent="0.25">
      <c r="A24" s="4"/>
      <c r="B24" s="19"/>
    </row>
    <row r="25" spans="1:24" s="7" customFormat="1" x14ac:dyDescent="0.25">
      <c r="A25" s="4"/>
      <c r="B25" s="19"/>
    </row>
    <row r="26" spans="1:24" s="7" customFormat="1" x14ac:dyDescent="0.25">
      <c r="A26" s="4"/>
      <c r="B26" s="19"/>
    </row>
    <row r="27" spans="1:24" s="7" customFormat="1" x14ac:dyDescent="0.25">
      <c r="A27" s="4"/>
      <c r="B27" s="19"/>
    </row>
    <row r="28" spans="1:24" s="7" customFormat="1" x14ac:dyDescent="0.25">
      <c r="A28" s="4"/>
      <c r="B28" s="19"/>
    </row>
    <row r="29" spans="1:24" s="7" customFormat="1" x14ac:dyDescent="0.25">
      <c r="A29" s="4"/>
      <c r="B29" s="19"/>
    </row>
    <row r="30" spans="1:24" s="7" customFormat="1" x14ac:dyDescent="0.25">
      <c r="A30" s="4"/>
      <c r="B30" s="19"/>
    </row>
    <row r="31" spans="1:24" s="7" customFormat="1" x14ac:dyDescent="0.25">
      <c r="A31" s="4"/>
      <c r="B31" s="19"/>
    </row>
    <row r="32" spans="1:24" s="7" customFormat="1" x14ac:dyDescent="0.25">
      <c r="A32" s="4"/>
      <c r="B32" s="19"/>
    </row>
    <row r="33" spans="1:2" s="7" customFormat="1" x14ac:dyDescent="0.25">
      <c r="A33" s="4"/>
      <c r="B33" s="19"/>
    </row>
    <row r="34" spans="1:2" s="7" customFormat="1" x14ac:dyDescent="0.25">
      <c r="A34" s="4"/>
      <c r="B34" s="19"/>
    </row>
    <row r="35" spans="1:2" s="7" customFormat="1" x14ac:dyDescent="0.25">
      <c r="A35" s="4"/>
      <c r="B35" s="19"/>
    </row>
    <row r="36" spans="1:2" s="7" customFormat="1" x14ac:dyDescent="0.25">
      <c r="A36" s="4"/>
      <c r="B36" s="19"/>
    </row>
    <row r="37" spans="1:2" s="7" customFormat="1" x14ac:dyDescent="0.25">
      <c r="A37" s="4"/>
      <c r="B37" s="19"/>
    </row>
    <row r="38" spans="1:2" s="7" customFormat="1" x14ac:dyDescent="0.25">
      <c r="A38" s="4"/>
      <c r="B38" s="19"/>
    </row>
    <row r="39" spans="1:2" s="7" customFormat="1" x14ac:dyDescent="0.25">
      <c r="A39" s="4"/>
      <c r="B39" s="19"/>
    </row>
    <row r="40" spans="1:2" s="7" customFormat="1" x14ac:dyDescent="0.25">
      <c r="A40" s="4"/>
      <c r="B40" s="19"/>
    </row>
    <row r="41" spans="1:2" s="7" customFormat="1" x14ac:dyDescent="0.25">
      <c r="A41" s="4"/>
      <c r="B41" s="19"/>
    </row>
    <row r="42" spans="1:2" s="7" customFormat="1" x14ac:dyDescent="0.25">
      <c r="A42" s="4"/>
      <c r="B42" s="19"/>
    </row>
    <row r="43" spans="1:2" s="7" customFormat="1" x14ac:dyDescent="0.25">
      <c r="A43" s="4"/>
      <c r="B43" s="19"/>
    </row>
    <row r="44" spans="1:2" s="7" customFormat="1" x14ac:dyDescent="0.25">
      <c r="A44" s="4"/>
      <c r="B44" s="19"/>
    </row>
    <row r="45" spans="1:2" s="7" customFormat="1" x14ac:dyDescent="0.25">
      <c r="A45" s="4"/>
      <c r="B45" s="19"/>
    </row>
    <row r="46" spans="1:2" s="7" customFormat="1" x14ac:dyDescent="0.25">
      <c r="A46" s="4"/>
      <c r="B46" s="19"/>
    </row>
    <row r="47" spans="1:2" s="7" customFormat="1" x14ac:dyDescent="0.25">
      <c r="A47" s="4"/>
      <c r="B47" s="19"/>
    </row>
    <row r="48" spans="1:2" s="7" customFormat="1" x14ac:dyDescent="0.25">
      <c r="A48" s="4"/>
      <c r="B48" s="19"/>
    </row>
    <row r="49" spans="1:2" s="7" customFormat="1" x14ac:dyDescent="0.25">
      <c r="A49" s="4"/>
      <c r="B49" s="19"/>
    </row>
    <row r="50" spans="1:2" s="7" customFormat="1" x14ac:dyDescent="0.25">
      <c r="A50" s="4"/>
      <c r="B50" s="19"/>
    </row>
    <row r="51" spans="1:2" s="7" customFormat="1" x14ac:dyDescent="0.25">
      <c r="A51" s="4"/>
      <c r="B51" s="19"/>
    </row>
    <row r="52" spans="1:2" s="7" customFormat="1" x14ac:dyDescent="0.25">
      <c r="A52" s="4"/>
      <c r="B52" s="19"/>
    </row>
    <row r="53" spans="1:2" s="7" customFormat="1" x14ac:dyDescent="0.25">
      <c r="A53" s="4"/>
      <c r="B53" s="19"/>
    </row>
    <row r="54" spans="1:2" s="7" customFormat="1" x14ac:dyDescent="0.25">
      <c r="A54" s="4"/>
      <c r="B54" s="19"/>
    </row>
    <row r="55" spans="1:2" s="7" customFormat="1" x14ac:dyDescent="0.25">
      <c r="A55" s="4"/>
      <c r="B55" s="19"/>
    </row>
    <row r="56" spans="1:2" s="7" customFormat="1" x14ac:dyDescent="0.25">
      <c r="A56" s="4"/>
      <c r="B56" s="19"/>
    </row>
    <row r="57" spans="1:2" s="7" customFormat="1" x14ac:dyDescent="0.25">
      <c r="A57" s="4"/>
      <c r="B57" s="19"/>
    </row>
    <row r="58" spans="1:2" s="7" customFormat="1" x14ac:dyDescent="0.25">
      <c r="A58" s="4"/>
      <c r="B58" s="19"/>
    </row>
    <row r="59" spans="1:2" s="7" customFormat="1" x14ac:dyDescent="0.25">
      <c r="A59" s="4"/>
      <c r="B59" s="19"/>
    </row>
    <row r="60" spans="1:2" s="7" customFormat="1" x14ac:dyDescent="0.25">
      <c r="A60" s="4"/>
      <c r="B60" s="19"/>
    </row>
    <row r="61" spans="1:2" s="7" customFormat="1" x14ac:dyDescent="0.25">
      <c r="A61" s="4"/>
      <c r="B61" s="19"/>
    </row>
    <row r="62" spans="1:2" s="7" customFormat="1" x14ac:dyDescent="0.25">
      <c r="A62" s="4"/>
      <c r="B62" s="19"/>
    </row>
    <row r="63" spans="1:2" s="7" customFormat="1" x14ac:dyDescent="0.25">
      <c r="A63" s="4"/>
      <c r="B63" s="19"/>
    </row>
    <row r="64" spans="1:2" s="7" customFormat="1" x14ac:dyDescent="0.25">
      <c r="A64" s="4"/>
      <c r="B64" s="19"/>
    </row>
    <row r="65" spans="1:2" s="7" customFormat="1" x14ac:dyDescent="0.25">
      <c r="A65" s="4"/>
      <c r="B65" s="19"/>
    </row>
    <row r="66" spans="1:2" s="7" customFormat="1" x14ac:dyDescent="0.25">
      <c r="A66" s="4"/>
      <c r="B66" s="19"/>
    </row>
    <row r="67" spans="1:2" s="7" customFormat="1" x14ac:dyDescent="0.25">
      <c r="A67" s="4"/>
      <c r="B67" s="19"/>
    </row>
    <row r="68" spans="1:2" s="7" customFormat="1" x14ac:dyDescent="0.25">
      <c r="A68" s="4"/>
      <c r="B68" s="19"/>
    </row>
    <row r="69" spans="1:2" s="7" customFormat="1" x14ac:dyDescent="0.25">
      <c r="A69" s="4"/>
      <c r="B69" s="19"/>
    </row>
    <row r="70" spans="1:2" s="7" customFormat="1" x14ac:dyDescent="0.25">
      <c r="A70" s="4"/>
      <c r="B70" s="19"/>
    </row>
    <row r="71" spans="1:2" s="7" customFormat="1" x14ac:dyDescent="0.25">
      <c r="A71" s="4"/>
      <c r="B71" s="19"/>
    </row>
    <row r="72" spans="1:2" s="7" customFormat="1" x14ac:dyDescent="0.25">
      <c r="A72" s="4"/>
      <c r="B72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Gustavo Mateus</cp:lastModifiedBy>
  <cp:revision/>
  <dcterms:created xsi:type="dcterms:W3CDTF">2024-12-19T13:13:10Z</dcterms:created>
  <dcterms:modified xsi:type="dcterms:W3CDTF">2026-07-20T17:20:16Z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